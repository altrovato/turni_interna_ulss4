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naio_2026" sheetId="1" r:id="rId4"/>
    <sheet state="visible" name="Febbraio_2026" sheetId="2" r:id="rId5"/>
    <sheet state="visible" name="Marzo_2026" sheetId="3" r:id="rId6"/>
    <sheet state="visible" name="Aprile_2026" sheetId="4" r:id="rId7"/>
    <sheet state="visible" name="Maggio_2026" sheetId="5" r:id="rId8"/>
    <sheet state="visible" name="Giugno_2026" sheetId="6" r:id="rId9"/>
    <sheet state="visible" name="Giugno 2026bis" sheetId="7" r:id="rId10"/>
    <sheet state="visible" name="Luglio 2026" sheetId="8" r:id="rId11"/>
  </sheets>
  <definedNames/>
  <calcPr/>
  <extLst>
    <ext uri="GoogleSheetsCustomDataVersion2">
      <go:sheetsCustomData xmlns:go="http://customooxmlschemas.google.com/" r:id="rId12" roundtripDataChecksum="eJ2GxCQ+b2DDy1LAexxqjJIBfJQgBAD43pyJiaAmwLA="/>
    </ext>
  </extLst>
</workbook>
</file>

<file path=xl/sharedStrings.xml><?xml version="1.0" encoding="utf-8"?>
<sst xmlns="http://schemas.openxmlformats.org/spreadsheetml/2006/main" count="3457" uniqueCount="347">
  <si>
    <t>Presenze</t>
  </si>
  <si>
    <t>CAMPAGNOL</t>
  </si>
  <si>
    <t>PICCOLI</t>
  </si>
  <si>
    <t>VERARDO</t>
  </si>
  <si>
    <t>DELLA LIBERA</t>
  </si>
  <si>
    <t>LOVERO</t>
  </si>
  <si>
    <t>MAROTTA</t>
  </si>
  <si>
    <t>VIRDIS</t>
  </si>
  <si>
    <t>TESO</t>
  </si>
  <si>
    <t>BRONDOLIN</t>
  </si>
  <si>
    <t>lunedì</t>
  </si>
  <si>
    <t>RF 28/12</t>
  </si>
  <si>
    <t>SN</t>
  </si>
  <si>
    <t>M/AI</t>
  </si>
  <si>
    <t>M</t>
  </si>
  <si>
    <t>G</t>
  </si>
  <si>
    <t>F</t>
  </si>
  <si>
    <t>N</t>
  </si>
  <si>
    <t>martedì</t>
  </si>
  <si>
    <t>mercoledì</t>
  </si>
  <si>
    <t>AR</t>
  </si>
  <si>
    <t>giovedì</t>
  </si>
  <si>
    <t>/</t>
  </si>
  <si>
    <t>Legenda</t>
  </si>
  <si>
    <t>Ore</t>
  </si>
  <si>
    <t>Presenza</t>
  </si>
  <si>
    <t>venerdì</t>
  </si>
  <si>
    <t>mattina</t>
  </si>
  <si>
    <t>sabato</t>
  </si>
  <si>
    <t>RN 28/12</t>
  </si>
  <si>
    <t>RN 1/1</t>
  </si>
  <si>
    <t>guardia giorno</t>
  </si>
  <si>
    <t>domenica</t>
  </si>
  <si>
    <t>guardia notte</t>
  </si>
  <si>
    <t>-</t>
  </si>
  <si>
    <t>TOT</t>
  </si>
  <si>
    <t>mattina + amb. Internistico</t>
  </si>
  <si>
    <t>05-gen</t>
  </si>
  <si>
    <t>RF 1/1</t>
  </si>
  <si>
    <t>M/AD</t>
  </si>
  <si>
    <t>mattina + amb. Doppler</t>
  </si>
  <si>
    <t>06-gen</t>
  </si>
  <si>
    <t>M/AR</t>
  </si>
  <si>
    <t>mattina + amb. Rematologico</t>
  </si>
  <si>
    <t>07-gen</t>
  </si>
  <si>
    <t>RF 4/1</t>
  </si>
  <si>
    <t>ambulatorio Reumatologico</t>
  </si>
  <si>
    <t>08-gen</t>
  </si>
  <si>
    <t>AR/AR</t>
  </si>
  <si>
    <t>Amb. Reumato + amb. Reumato</t>
  </si>
  <si>
    <t>09-gen</t>
  </si>
  <si>
    <t>RF 10/1</t>
  </si>
  <si>
    <t>C</t>
  </si>
  <si>
    <t>congresso</t>
  </si>
  <si>
    <t>10-gen</t>
  </si>
  <si>
    <t>RN 6/1</t>
  </si>
  <si>
    <t>RF 6/1</t>
  </si>
  <si>
    <t>ferie</t>
  </si>
  <si>
    <t>11-gen</t>
  </si>
  <si>
    <t>R</t>
  </si>
  <si>
    <t>recupero festivo o notte</t>
  </si>
  <si>
    <t>12-gen</t>
  </si>
  <si>
    <t>13-gen</t>
  </si>
  <si>
    <t>RN 11/1</t>
  </si>
  <si>
    <t>14-gen</t>
  </si>
  <si>
    <t>15-gen</t>
  </si>
  <si>
    <t>AR/G</t>
  </si>
  <si>
    <t>16-gen</t>
  </si>
  <si>
    <t>17-gen</t>
  </si>
  <si>
    <t>RF 11/1</t>
  </si>
  <si>
    <t>RN 5/1</t>
  </si>
  <si>
    <t>18-gen</t>
  </si>
  <si>
    <t>19-gen</t>
  </si>
  <si>
    <t>RF 18/1</t>
  </si>
  <si>
    <t>RF 17/1</t>
  </si>
  <si>
    <t>20-gen</t>
  </si>
  <si>
    <t>RN 18/1</t>
  </si>
  <si>
    <t>21-gen</t>
  </si>
  <si>
    <t>22-gen</t>
  </si>
  <si>
    <t>23-gen</t>
  </si>
  <si>
    <t>24-gen</t>
  </si>
  <si>
    <t>25-gen</t>
  </si>
  <si>
    <t>26-gen</t>
  </si>
  <si>
    <t>27-gen</t>
  </si>
  <si>
    <t>28-gen</t>
  </si>
  <si>
    <t>29-gen</t>
  </si>
  <si>
    <t>RN 24/1</t>
  </si>
  <si>
    <t>RN 25/1</t>
  </si>
  <si>
    <t>30-gen</t>
  </si>
  <si>
    <t>RF 25/1</t>
  </si>
  <si>
    <t>31-gen</t>
  </si>
  <si>
    <t>1-feb</t>
  </si>
  <si>
    <t>TOTALE MENSILE</t>
  </si>
  <si>
    <t xml:space="preserve"> Dovuto mese 158</t>
  </si>
  <si>
    <t>2-feb</t>
  </si>
  <si>
    <t>RF 1/02</t>
  </si>
  <si>
    <t>3-feb</t>
  </si>
  <si>
    <t>4-feb</t>
  </si>
  <si>
    <t>RN 8/2</t>
  </si>
  <si>
    <t>5-feb</t>
  </si>
  <si>
    <t>6-feb</t>
  </si>
  <si>
    <t>Rf 31/1</t>
  </si>
  <si>
    <t>7-feb</t>
  </si>
  <si>
    <t>RN 1/02</t>
  </si>
  <si>
    <t>8-feb</t>
  </si>
  <si>
    <t>9-feb</t>
  </si>
  <si>
    <t>RF 8/2</t>
  </si>
  <si>
    <t>10-feb</t>
  </si>
  <si>
    <t>AD del 11/2</t>
  </si>
  <si>
    <t>11-feb</t>
  </si>
  <si>
    <t>RF 15/2</t>
  </si>
  <si>
    <t>12-feb</t>
  </si>
  <si>
    <t>RF 7/2</t>
  </si>
  <si>
    <t>13-feb</t>
  </si>
  <si>
    <t>14-feb</t>
  </si>
  <si>
    <t>Per essere in 3 il Sabato</t>
  </si>
  <si>
    <t>15-feb</t>
  </si>
  <si>
    <t>16-feb</t>
  </si>
  <si>
    <t>17-feb</t>
  </si>
  <si>
    <t>18-feb</t>
  </si>
  <si>
    <t>RN 21/2</t>
  </si>
  <si>
    <t>19-feb</t>
  </si>
  <si>
    <t>20-feb</t>
  </si>
  <si>
    <t>21-feb</t>
  </si>
  <si>
    <t>22-feb</t>
  </si>
  <si>
    <t>23-feb</t>
  </si>
  <si>
    <t>RF 22/2</t>
  </si>
  <si>
    <t>24-feb</t>
  </si>
  <si>
    <t>AD del 25/2</t>
  </si>
  <si>
    <t>25-feb</t>
  </si>
  <si>
    <t>26-feb</t>
  </si>
  <si>
    <t>27-feb</t>
  </si>
  <si>
    <t>RN 14/2</t>
  </si>
  <si>
    <t>28-feb</t>
  </si>
  <si>
    <t>1-mar</t>
  </si>
  <si>
    <t xml:space="preserve"> Dovuto mese 151</t>
  </si>
  <si>
    <t>2-mar</t>
  </si>
  <si>
    <t>RF 1/3</t>
  </si>
  <si>
    <t>3-mar</t>
  </si>
  <si>
    <t>4-mar</t>
  </si>
  <si>
    <t>RN 1/3</t>
  </si>
  <si>
    <t>5-mar</t>
  </si>
  <si>
    <t>RN 8/3</t>
  </si>
  <si>
    <t>6-mar</t>
  </si>
  <si>
    <t>7-mar</t>
  </si>
  <si>
    <t>RN 28/2</t>
  </si>
  <si>
    <t>8-mar</t>
  </si>
  <si>
    <t>9-mar</t>
  </si>
  <si>
    <t>RF 8/4</t>
  </si>
  <si>
    <t>10-mar</t>
  </si>
  <si>
    <t>11-mar</t>
  </si>
  <si>
    <t>RN 7/3</t>
  </si>
  <si>
    <t>12-mar</t>
  </si>
  <si>
    <t>13-mar</t>
  </si>
  <si>
    <t>14-mar</t>
  </si>
  <si>
    <t>15-mar</t>
  </si>
  <si>
    <t>16-mar</t>
  </si>
  <si>
    <t>RF 15/3</t>
  </si>
  <si>
    <t>17-mar</t>
  </si>
  <si>
    <t>18-mar</t>
  </si>
  <si>
    <t>RN 28/3</t>
  </si>
  <si>
    <t>AI 16/3</t>
  </si>
  <si>
    <t>19-mar</t>
  </si>
  <si>
    <t>RN 15/3</t>
  </si>
  <si>
    <t>20-mar</t>
  </si>
  <si>
    <t>RN 14/3</t>
  </si>
  <si>
    <t>21-mar</t>
  </si>
  <si>
    <t>22-mar</t>
  </si>
  <si>
    <t>23-mar</t>
  </si>
  <si>
    <t>RF 22/3</t>
  </si>
  <si>
    <t>24-mar</t>
  </si>
  <si>
    <t>AI 24/3</t>
  </si>
  <si>
    <t>25-mar</t>
  </si>
  <si>
    <t>RN 22/3</t>
  </si>
  <si>
    <t>26-mar</t>
  </si>
  <si>
    <t>RN 21/3</t>
  </si>
  <si>
    <t>27-mar</t>
  </si>
  <si>
    <t>28-mar</t>
  </si>
  <si>
    <t>RN 4/4</t>
  </si>
  <si>
    <t>29-mar</t>
  </si>
  <si>
    <t>30-mar</t>
  </si>
  <si>
    <t>RF 29/3</t>
  </si>
  <si>
    <t>31-mar</t>
  </si>
  <si>
    <t>AI 30/3</t>
  </si>
  <si>
    <t>1-apr</t>
  </si>
  <si>
    <t>2-apr</t>
  </si>
  <si>
    <t>3-apr</t>
  </si>
  <si>
    <t>RN 29/3</t>
  </si>
  <si>
    <t>4-apr</t>
  </si>
  <si>
    <t>5-apr</t>
  </si>
  <si>
    <t xml:space="preserve"> Dovuto mese 164</t>
  </si>
  <si>
    <t>6-apr</t>
  </si>
  <si>
    <t>7-apr</t>
  </si>
  <si>
    <t>RF 4/4</t>
  </si>
  <si>
    <t>8-apr</t>
  </si>
  <si>
    <t>RN 5/4</t>
  </si>
  <si>
    <t>9-apr</t>
  </si>
  <si>
    <t>RF 5/4</t>
  </si>
  <si>
    <t xml:space="preserve">5 ore </t>
  </si>
  <si>
    <t>10-apr</t>
  </si>
  <si>
    <t>RF 6/4</t>
  </si>
  <si>
    <t>11-apr</t>
  </si>
  <si>
    <t>12-apr</t>
  </si>
  <si>
    <t>13-apr</t>
  </si>
  <si>
    <t>RF 12/4</t>
  </si>
  <si>
    <t>RN 6/4</t>
  </si>
  <si>
    <t>14-apr</t>
  </si>
  <si>
    <t>15-apr</t>
  </si>
  <si>
    <t xml:space="preserve">RN 12/4 </t>
  </si>
  <si>
    <t>16-apr</t>
  </si>
  <si>
    <t xml:space="preserve">RN 11/4 </t>
  </si>
  <si>
    <t>17-apr</t>
  </si>
  <si>
    <t>RN 19/4</t>
  </si>
  <si>
    <t>18-apr</t>
  </si>
  <si>
    <t>19-apr</t>
  </si>
  <si>
    <t>20-apr</t>
  </si>
  <si>
    <t>RF 19/4</t>
  </si>
  <si>
    <t>RN 18/4</t>
  </si>
  <si>
    <t>21-apr</t>
  </si>
  <si>
    <t>22-apr</t>
  </si>
  <si>
    <t>RF 25/4</t>
  </si>
  <si>
    <t>23-apr</t>
  </si>
  <si>
    <t>24-apr</t>
  </si>
  <si>
    <t>25-apr</t>
  </si>
  <si>
    <t>26-apr</t>
  </si>
  <si>
    <t>27-apr</t>
  </si>
  <si>
    <t>RF 26/4</t>
  </si>
  <si>
    <t>28-apr</t>
  </si>
  <si>
    <t>RN 26/4</t>
  </si>
  <si>
    <t>29-apr</t>
  </si>
  <si>
    <t>RN 25/4</t>
  </si>
  <si>
    <t>30-apr</t>
  </si>
  <si>
    <t>1-mag</t>
  </si>
  <si>
    <t>2-mag</t>
  </si>
  <si>
    <t>3-mag</t>
  </si>
  <si>
    <t xml:space="preserve"> Dovuto mese 152</t>
  </si>
  <si>
    <t>4-mag</t>
  </si>
  <si>
    <t>RF 3/5</t>
  </si>
  <si>
    <t>5-mag</t>
  </si>
  <si>
    <t>6-mag</t>
  </si>
  <si>
    <t>7-mag</t>
  </si>
  <si>
    <t>8-mag</t>
  </si>
  <si>
    <t>RN 1/5</t>
  </si>
  <si>
    <t>RN 10/5</t>
  </si>
  <si>
    <t>9-mag</t>
  </si>
  <si>
    <t>RN 2/5</t>
  </si>
  <si>
    <t>RN 3/5</t>
  </si>
  <si>
    <t>10-mag</t>
  </si>
  <si>
    <t>11-mag</t>
  </si>
  <si>
    <t>RF 10/5</t>
  </si>
  <si>
    <t>12-mag</t>
  </si>
  <si>
    <t>13-mag</t>
  </si>
  <si>
    <t>14-mag</t>
  </si>
  <si>
    <t>RN 9/5</t>
  </si>
  <si>
    <t>15-mag</t>
  </si>
  <si>
    <t>RF 1/5</t>
  </si>
  <si>
    <t>16-mag</t>
  </si>
  <si>
    <t>17-mag</t>
  </si>
  <si>
    <t>18-mag</t>
  </si>
  <si>
    <t>RF 17/5</t>
  </si>
  <si>
    <t>19-mag</t>
  </si>
  <si>
    <t>RN 16/5</t>
  </si>
  <si>
    <t>20-mag</t>
  </si>
  <si>
    <t>21-mag</t>
  </si>
  <si>
    <t>Malattia</t>
  </si>
  <si>
    <t>22-mag</t>
  </si>
  <si>
    <t>RN 23/5</t>
  </si>
  <si>
    <t>23-mag</t>
  </si>
  <si>
    <t>24-mag</t>
  </si>
  <si>
    <t>25-mag</t>
  </si>
  <si>
    <t>RN 31/5</t>
  </si>
  <si>
    <t>RF 24/5</t>
  </si>
  <si>
    <t>26-mag</t>
  </si>
  <si>
    <t>27-mag</t>
  </si>
  <si>
    <t>RN 24/5</t>
  </si>
  <si>
    <t>28-mag</t>
  </si>
  <si>
    <t>29-mag</t>
  </si>
  <si>
    <t>30-mag</t>
  </si>
  <si>
    <t>RN 17/5</t>
  </si>
  <si>
    <t>31-mag</t>
  </si>
  <si>
    <t>1-giu</t>
  </si>
  <si>
    <t>RF 31/5</t>
  </si>
  <si>
    <t xml:space="preserve"> RN 30/5</t>
  </si>
  <si>
    <t>2-giu</t>
  </si>
  <si>
    <t>3-giu</t>
  </si>
  <si>
    <t>RN 1/6</t>
  </si>
  <si>
    <t>4-giu</t>
  </si>
  <si>
    <t>5-giu</t>
  </si>
  <si>
    <t xml:space="preserve"> AD del 24/6</t>
  </si>
  <si>
    <t>6-giu</t>
  </si>
  <si>
    <t>7-giu</t>
  </si>
  <si>
    <t>8-giu</t>
  </si>
  <si>
    <t>RF 7/6</t>
  </si>
  <si>
    <t>9-giu</t>
  </si>
  <si>
    <t>10-giu</t>
  </si>
  <si>
    <t>RN 7/6</t>
  </si>
  <si>
    <t>11-giu</t>
  </si>
  <si>
    <t>RN 14/6</t>
  </si>
  <si>
    <t>12-giu</t>
  </si>
  <si>
    <t>13-giu</t>
  </si>
  <si>
    <t>RN 6/6</t>
  </si>
  <si>
    <t>14-giu</t>
  </si>
  <si>
    <t>15-giu</t>
  </si>
  <si>
    <t>RF 14/6</t>
  </si>
  <si>
    <t>16-giu</t>
  </si>
  <si>
    <t>17-giu</t>
  </si>
  <si>
    <t>RF 2/6</t>
  </si>
  <si>
    <t>18-giu</t>
  </si>
  <si>
    <t>RN 21/6</t>
  </si>
  <si>
    <t>19-giu</t>
  </si>
  <si>
    <t>20-giu</t>
  </si>
  <si>
    <t>21-giu</t>
  </si>
  <si>
    <t>22-giu</t>
  </si>
  <si>
    <t>RF 21/6</t>
  </si>
  <si>
    <t>23-giu</t>
  </si>
  <si>
    <t>24-giu</t>
  </si>
  <si>
    <t>25-giu</t>
  </si>
  <si>
    <t>RN  13/6</t>
  </si>
  <si>
    <t>26-giu</t>
  </si>
  <si>
    <t>RN 20/6</t>
  </si>
  <si>
    <t>27-giu</t>
  </si>
  <si>
    <t>28-giu</t>
  </si>
  <si>
    <t>29-giu</t>
  </si>
  <si>
    <t>RF 28/6</t>
  </si>
  <si>
    <t>30-giu</t>
  </si>
  <si>
    <t>RN 27/6</t>
  </si>
  <si>
    <t>1-lug</t>
  </si>
  <si>
    <t>2-lug</t>
  </si>
  <si>
    <t>3-lug</t>
  </si>
  <si>
    <t>AD del 1/7</t>
  </si>
  <si>
    <t>4-lug</t>
  </si>
  <si>
    <t>5-lug</t>
  </si>
  <si>
    <t>RN 13/6</t>
  </si>
  <si>
    <t>RN  28/6</t>
  </si>
  <si>
    <t>RF 5/7</t>
  </si>
  <si>
    <t>RN 4/7</t>
  </si>
  <si>
    <t>RN 5/7</t>
  </si>
  <si>
    <t>RF 12/7</t>
  </si>
  <si>
    <t>RN 11/7</t>
  </si>
  <si>
    <t>RN 12/7</t>
  </si>
  <si>
    <t>RF 19/7</t>
  </si>
  <si>
    <t>RN 18/7</t>
  </si>
  <si>
    <t>RN 19/7</t>
  </si>
  <si>
    <t>RN 25/7</t>
  </si>
  <si>
    <t>RF 26/7</t>
  </si>
  <si>
    <t>RN 26/7</t>
  </si>
  <si>
    <t xml:space="preserve"> Dovuto mese 170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</si>
</sst>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10]dd\-mmm"/>
    <numFmt numFmtId="165" formatCode="#,##0.0&quot;    &quot;;\-#,##0.0&quot;    &quot;;\-#&quot;    &quot;"/>
    <numFmt numFmtId="166" formatCode="0.0"/>
    <numFmt numFmtId="167" formatCode="#,##0.0\ ;\-#,##0.0\ ;\-#\ "/>
  </numFmts>
  <fonts count="14">
    <font>
      <sz val="10.0"/>
      <color rgb="FF000000"/>
      <name val="Arial"/>
      <scheme val="minor"/>
    </font>
    <font>
      <b/>
      <sz val="11.0"/>
      <color rgb="FF000000"/>
      <name val="Calibri"/>
    </font>
    <font>
      <sz val="12.0"/>
      <color rgb="FF000000"/>
      <name val="Arial"/>
    </font>
    <font>
      <sz val="11.0"/>
      <color rgb="FF000000"/>
      <name val="Calibri"/>
    </font>
    <font>
      <sz val="11.0"/>
      <color rgb="FF000000"/>
      <name val="Arial"/>
    </font>
    <font>
      <b/>
      <sz val="12.0"/>
      <color rgb="FF000000"/>
      <name val="Calibri"/>
    </font>
    <font>
      <sz val="12.0"/>
      <color rgb="FF000000"/>
      <name val="Calibri"/>
    </font>
    <font/>
    <font>
      <sz val="10.0"/>
      <color rgb="FF000000"/>
      <name val="Arial"/>
    </font>
    <font>
      <b/>
      <sz val="12.0"/>
      <color rgb="FF000000"/>
      <name val="Arial"/>
    </font>
    <font>
      <sz val="11.0"/>
      <color rgb="FFFFFFFF"/>
      <name val="Calibri"/>
    </font>
    <font>
      <color theme="1"/>
      <name val="Arial"/>
      <scheme val="minor"/>
    </font>
    <font>
      <sz val="10.0"/>
      <color theme="1"/>
      <name val="Arial"/>
    </font>
    <font>
      <sz val="11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81D41A"/>
        <bgColor rgb="FF81D41A"/>
      </patternFill>
    </fill>
    <fill>
      <patternFill patternType="solid">
        <fgColor rgb="FFCCCCCC"/>
        <bgColor rgb="FFCCCCCC"/>
      </patternFill>
    </fill>
    <fill>
      <patternFill patternType="solid">
        <fgColor rgb="FFD0CECE"/>
        <bgColor rgb="FFD0CECE"/>
      </patternFill>
    </fill>
    <fill>
      <patternFill patternType="solid">
        <fgColor rgb="FFDDDDDD"/>
        <bgColor rgb="FFDDDDDD"/>
      </patternFill>
    </fill>
    <fill>
      <patternFill patternType="solid">
        <fgColor rgb="FF729FCF"/>
        <bgColor rgb="FF729FCF"/>
      </patternFill>
    </fill>
    <fill>
      <patternFill patternType="solid">
        <fgColor rgb="FFFF860D"/>
        <bgColor rgb="FFFF860D"/>
      </patternFill>
    </fill>
    <fill>
      <patternFill patternType="solid">
        <fgColor rgb="FFFF8000"/>
        <bgColor rgb="FFFF8000"/>
      </patternFill>
    </fill>
    <fill>
      <patternFill patternType="solid">
        <fgColor rgb="FFFFBF00"/>
        <bgColor rgb="FFFFBF00"/>
      </patternFill>
    </fill>
    <fill>
      <patternFill patternType="solid">
        <fgColor rgb="FFB2B2B2"/>
        <bgColor rgb="FFB2B2B2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FF38"/>
        <bgColor rgb="FFFFFF38"/>
      </patternFill>
    </fill>
    <fill>
      <patternFill patternType="solid">
        <fgColor rgb="FFD4D4D4"/>
        <bgColor rgb="FFD4D4D4"/>
      </patternFill>
    </fill>
  </fills>
  <borders count="17">
    <border/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/>
      <right style="hair">
        <color rgb="FF000000"/>
      </right>
      <top/>
      <bottom/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0" fillId="0" fontId="2" numFmtId="0" xfId="0" applyFont="1"/>
    <xf borderId="5" fillId="0" fontId="3" numFmtId="0" xfId="0" applyAlignment="1" applyBorder="1" applyFont="1">
      <alignment horizontal="center"/>
    </xf>
    <xf borderId="5" fillId="2" fontId="3" numFmtId="164" xfId="0" applyAlignment="1" applyBorder="1" applyFont="1" applyNumberFormat="1">
      <alignment horizontal="center" vertical="center"/>
    </xf>
    <xf borderId="5" fillId="0" fontId="3" numFmtId="165" xfId="0" applyBorder="1" applyFont="1" applyNumberFormat="1"/>
    <xf borderId="6" fillId="0" fontId="3" numFmtId="0" xfId="0" applyAlignment="1" applyBorder="1" applyFont="1">
      <alignment horizontal="center"/>
    </xf>
    <xf borderId="5" fillId="3" fontId="3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5" fillId="4" fontId="3" numFmtId="0" xfId="0" applyAlignment="1" applyBorder="1" applyFill="1" applyFont="1">
      <alignment horizontal="center"/>
    </xf>
    <xf borderId="6" fillId="0" fontId="3" numFmtId="166" xfId="0" applyAlignment="1" applyBorder="1" applyFont="1" applyNumberFormat="1">
      <alignment horizontal="center" vertical="center"/>
    </xf>
    <xf borderId="5" fillId="5" fontId="3" numFmtId="0" xfId="0" applyAlignment="1" applyBorder="1" applyFill="1" applyFont="1">
      <alignment horizontal="center"/>
    </xf>
    <xf borderId="5" fillId="6" fontId="3" numFmtId="0" xfId="0" applyAlignment="1" applyBorder="1" applyFill="1" applyFont="1">
      <alignment horizontal="center"/>
    </xf>
    <xf borderId="0" fillId="0" fontId="4" numFmtId="0" xfId="0" applyAlignment="1" applyFont="1">
      <alignment vertical="center"/>
    </xf>
    <xf borderId="5" fillId="7" fontId="3" numFmtId="0" xfId="0" applyAlignment="1" applyBorder="1" applyFill="1" applyFont="1">
      <alignment horizontal="center"/>
    </xf>
    <xf borderId="5" fillId="7" fontId="3" numFmtId="165" xfId="0" applyBorder="1" applyFont="1" applyNumberFormat="1"/>
    <xf borderId="7" fillId="7" fontId="3" numFmtId="0" xfId="0" applyAlignment="1" applyBorder="1" applyFont="1">
      <alignment horizontal="center" vertical="center"/>
    </xf>
    <xf borderId="5" fillId="4" fontId="5" numFmtId="0" xfId="0" applyAlignment="1" applyBorder="1" applyFont="1">
      <alignment horizontal="center"/>
    </xf>
    <xf borderId="6" fillId="0" fontId="3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8" fillId="0" fontId="6" numFmtId="167" xfId="0" applyAlignment="1" applyBorder="1" applyFont="1" applyNumberFormat="1">
      <alignment horizontal="center" vertical="center"/>
    </xf>
    <xf borderId="5" fillId="8" fontId="3" numFmtId="0" xfId="0" applyAlignment="1" applyBorder="1" applyFill="1" applyFont="1">
      <alignment horizontal="center"/>
    </xf>
    <xf borderId="9" fillId="0" fontId="1" numFmtId="0" xfId="0" applyAlignment="1" applyBorder="1" applyFont="1">
      <alignment horizontal="center" vertical="center"/>
    </xf>
    <xf borderId="6" fillId="0" fontId="7" numFmtId="0" xfId="0" applyBorder="1" applyFont="1"/>
    <xf borderId="10" fillId="0" fontId="1" numFmtId="166" xfId="0" applyAlignment="1" applyBorder="1" applyFont="1" applyNumberFormat="1">
      <alignment horizontal="center" vertical="center"/>
    </xf>
    <xf borderId="8" fillId="0" fontId="1" numFmtId="166" xfId="0" applyAlignment="1" applyBorder="1" applyFont="1" applyNumberFormat="1">
      <alignment horizontal="center" vertical="center"/>
    </xf>
    <xf borderId="5" fillId="0" fontId="1" numFmtId="166" xfId="0" applyAlignment="1" applyBorder="1" applyFont="1" applyNumberFormat="1">
      <alignment horizontal="center" vertical="center"/>
    </xf>
    <xf borderId="7" fillId="7" fontId="3" numFmtId="0" xfId="0" applyAlignment="1" applyBorder="1" applyFont="1">
      <alignment horizontal="center"/>
    </xf>
    <xf borderId="3" fillId="9" fontId="6" numFmtId="0" xfId="0" applyAlignment="1" applyBorder="1" applyFill="1" applyFont="1">
      <alignment horizontal="center" vertical="center"/>
    </xf>
    <xf borderId="3" fillId="9" fontId="6" numFmtId="167" xfId="0" applyAlignment="1" applyBorder="1" applyFont="1" applyNumberFormat="1">
      <alignment horizontal="center" vertical="center"/>
    </xf>
    <xf borderId="11" fillId="9" fontId="6" numFmtId="0" xfId="0" applyAlignment="1" applyBorder="1" applyFont="1">
      <alignment horizontal="center" vertical="center"/>
    </xf>
    <xf borderId="11" fillId="9" fontId="6" numFmtId="167" xfId="0" applyAlignment="1" applyBorder="1" applyFont="1" applyNumberFormat="1">
      <alignment horizontal="center" vertical="center"/>
    </xf>
    <xf borderId="12" fillId="3" fontId="4" numFmtId="0" xfId="0" applyAlignment="1" applyBorder="1" applyFont="1">
      <alignment horizontal="center"/>
    </xf>
    <xf borderId="5" fillId="10" fontId="3" numFmtId="0" xfId="0" applyAlignment="1" applyBorder="1" applyFill="1" applyFont="1">
      <alignment horizontal="center"/>
    </xf>
    <xf borderId="12" fillId="10" fontId="8" numFmtId="0" xfId="0" applyBorder="1" applyFont="1"/>
    <xf borderId="5" fillId="6" fontId="3" numFmtId="166" xfId="0" applyAlignment="1" applyBorder="1" applyFont="1" applyNumberFormat="1">
      <alignment horizontal="center" vertical="center"/>
    </xf>
    <xf borderId="5" fillId="0" fontId="3" numFmtId="166" xfId="0" applyAlignment="1" applyBorder="1" applyFont="1" applyNumberFormat="1">
      <alignment horizontal="center" vertical="center"/>
    </xf>
    <xf borderId="5" fillId="6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5" fontId="3" numFmtId="0" xfId="0" applyAlignment="1" applyBorder="1" applyFont="1">
      <alignment horizontal="center" vertical="center"/>
    </xf>
    <xf borderId="5" fillId="7" fontId="3" numFmtId="0" xfId="0" applyAlignment="1" applyBorder="1" applyFont="1">
      <alignment horizontal="center" vertical="center"/>
    </xf>
    <xf borderId="13" fillId="0" fontId="1" numFmtId="166" xfId="0" applyAlignment="1" applyBorder="1" applyFont="1" applyNumberFormat="1">
      <alignment horizontal="center" vertical="center"/>
    </xf>
    <xf borderId="0" fillId="0" fontId="9" numFmtId="0" xfId="0" applyAlignment="1" applyFont="1">
      <alignment vertical="center"/>
    </xf>
    <xf borderId="12" fillId="6" fontId="3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14" fillId="0" fontId="1" numFmtId="166" xfId="0" applyAlignment="1" applyBorder="1" applyFont="1" applyNumberFormat="1">
      <alignment horizontal="center" vertical="center"/>
    </xf>
    <xf borderId="15" fillId="0" fontId="1" numFmtId="166" xfId="0" applyAlignment="1" applyBorder="1" applyFont="1" applyNumberFormat="1">
      <alignment horizontal="center" vertical="center"/>
    </xf>
    <xf borderId="9" fillId="4" fontId="1" numFmtId="0" xfId="0" applyAlignment="1" applyBorder="1" applyFont="1">
      <alignment horizontal="center" vertical="center"/>
    </xf>
    <xf borderId="9" fillId="0" fontId="1" numFmtId="165" xfId="0" applyAlignment="1" applyBorder="1" applyFont="1" applyNumberFormat="1">
      <alignment horizontal="center"/>
    </xf>
    <xf borderId="9" fillId="0" fontId="8" numFmtId="0" xfId="0" applyBorder="1" applyFont="1"/>
    <xf borderId="5" fillId="0" fontId="8" numFmtId="0" xfId="0" applyBorder="1" applyFont="1"/>
    <xf borderId="5" fillId="2" fontId="1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  <xf borderId="5" fillId="5" fontId="10" numFmtId="0" xfId="0" applyAlignment="1" applyBorder="1" applyFont="1">
      <alignment horizontal="center"/>
    </xf>
    <xf borderId="0" fillId="0" fontId="3" numFmtId="0" xfId="0" applyFont="1"/>
    <xf borderId="5" fillId="11" fontId="3" numFmtId="0" xfId="0" applyAlignment="1" applyBorder="1" applyFill="1" applyFont="1">
      <alignment horizontal="center"/>
    </xf>
    <xf borderId="12" fillId="5" fontId="3" numFmtId="0" xfId="0" applyAlignment="1" applyBorder="1" applyFont="1">
      <alignment horizontal="center"/>
    </xf>
    <xf borderId="5" fillId="12" fontId="3" numFmtId="165" xfId="0" applyBorder="1" applyFill="1" applyFont="1" applyNumberFormat="1"/>
    <xf borderId="5" fillId="3" fontId="3" numFmtId="166" xfId="0" applyAlignment="1" applyBorder="1" applyFont="1" applyNumberFormat="1">
      <alignment horizontal="center" vertical="center"/>
    </xf>
    <xf borderId="5" fillId="5" fontId="3" numFmtId="166" xfId="0" applyAlignment="1" applyBorder="1" applyFont="1" applyNumberFormat="1">
      <alignment horizontal="center" vertical="center"/>
    </xf>
    <xf borderId="5" fillId="8" fontId="3" numFmtId="165" xfId="0" applyBorder="1" applyFont="1" applyNumberFormat="1"/>
    <xf borderId="0" fillId="0" fontId="3" numFmtId="0" xfId="0" applyAlignment="1" applyFont="1">
      <alignment horizontal="center" vertical="center"/>
    </xf>
    <xf borderId="16" fillId="0" fontId="1" numFmtId="166" xfId="0" applyAlignment="1" applyBorder="1" applyFont="1" applyNumberFormat="1">
      <alignment horizontal="center" vertical="center"/>
    </xf>
    <xf borderId="16" fillId="0" fontId="3" numFmtId="0" xfId="0" applyAlignment="1" applyBorder="1" applyFont="1">
      <alignment horizontal="center"/>
    </xf>
    <xf borderId="0" fillId="0" fontId="11" numFmtId="0" xfId="0" applyFont="1"/>
    <xf borderId="5" fillId="13" fontId="3" numFmtId="0" xfId="0" applyAlignment="1" applyBorder="1" applyFill="1" applyFont="1">
      <alignment horizontal="center"/>
    </xf>
    <xf borderId="5" fillId="14" fontId="3" numFmtId="0" xfId="0" applyAlignment="1" applyBorder="1" applyFill="1" applyFont="1">
      <alignment horizontal="center"/>
    </xf>
    <xf borderId="5" fillId="15" fontId="3" numFmtId="0" xfId="0" applyAlignment="1" applyBorder="1" applyFill="1" applyFont="1">
      <alignment horizontal="center"/>
    </xf>
    <xf borderId="5" fillId="15" fontId="3" numFmtId="166" xfId="0" applyAlignment="1" applyBorder="1" applyFont="1" applyNumberFormat="1">
      <alignment horizontal="center" vertical="center"/>
    </xf>
    <xf borderId="5" fillId="16" fontId="3" numFmtId="0" xfId="0" applyAlignment="1" applyBorder="1" applyFill="1" applyFont="1">
      <alignment horizontal="center" vertical="center"/>
    </xf>
    <xf borderId="5" fillId="15" fontId="3" numFmtId="0" xfId="0" applyAlignment="1" applyBorder="1" applyFont="1">
      <alignment horizontal="center" vertical="center"/>
    </xf>
    <xf borderId="5" fillId="17" fontId="3" numFmtId="166" xfId="0" applyAlignment="1" applyBorder="1" applyFill="1" applyFont="1" applyNumberFormat="1">
      <alignment horizontal="center" vertical="center"/>
    </xf>
    <xf borderId="12" fillId="6" fontId="8" numFmtId="0" xfId="0" applyBorder="1" applyFont="1"/>
    <xf borderId="5" fillId="17" fontId="3" numFmtId="0" xfId="0" applyAlignment="1" applyBorder="1" applyFont="1">
      <alignment horizontal="center"/>
    </xf>
    <xf borderId="5" fillId="4" fontId="3" numFmtId="165" xfId="0" applyBorder="1" applyFont="1" applyNumberFormat="1"/>
    <xf borderId="7" fillId="4" fontId="3" numFmtId="0" xfId="0" applyAlignment="1" applyBorder="1" applyFont="1">
      <alignment horizontal="center" vertical="center"/>
    </xf>
    <xf borderId="0" fillId="0" fontId="12" numFmtId="0" xfId="0" applyFont="1"/>
    <xf borderId="12" fillId="15" fontId="12" numFmtId="0" xfId="0" applyBorder="1" applyFont="1"/>
    <xf borderId="0" fillId="0" fontId="13" numFmtId="0" xfId="0" applyFont="1"/>
    <xf borderId="5" fillId="5" fontId="3" numFmtId="0" xfId="0" applyAlignment="1" applyBorder="1" applyFont="1">
      <alignment horizontal="center" readingOrder="0"/>
    </xf>
    <xf borderId="12" fillId="15" fontId="3" numFmtId="0" xfId="0" applyAlignment="1" applyBorder="1" applyFont="1">
      <alignment horizontal="left"/>
    </xf>
    <xf borderId="5" fillId="4" fontId="3" numFmtId="0" xfId="0" applyAlignment="1" applyBorder="1" applyFont="1">
      <alignment horizontal="center" readingOrder="0"/>
    </xf>
    <xf borderId="5" fillId="18" fontId="3" numFmtId="0" xfId="0" applyAlignment="1" applyBorder="1" applyFill="1" applyFont="1">
      <alignment horizontal="center"/>
    </xf>
    <xf borderId="5" fillId="18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10.0"/>
    <col customWidth="1" min="20" max="26" width="6.5"/>
  </cols>
  <sheetData>
    <row r="1" ht="12.75" customHeight="1">
      <c r="D1" s="1" t="s">
        <v>0</v>
      </c>
      <c r="E1" s="2"/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4" t="s">
        <v>8</v>
      </c>
      <c r="N1" s="4" t="s">
        <v>9</v>
      </c>
      <c r="P1" s="5"/>
      <c r="Q1" s="5"/>
      <c r="R1" s="5"/>
      <c r="S1" s="5"/>
    </row>
    <row r="2" ht="12.75" customHeight="1">
      <c r="B2" s="6" t="s">
        <v>10</v>
      </c>
      <c r="C2" s="7">
        <v>46020.0</v>
      </c>
      <c r="D2" s="8">
        <f t="shared" ref="D2:D41" si="1">COUNTIF(E2:N2,$P$6)*$S$6+COUNTIF(E2:N2,$P$7)*$S$7+COUNTIF(E2:N2,$P$9)*$S$9+COUNTIF(E2:N2,$P$10)*$S$10+COUNTIF(E2:N2,$P$11)*$S$11</f>
        <v>4</v>
      </c>
      <c r="E2" s="9"/>
      <c r="F2" s="6" t="s">
        <v>11</v>
      </c>
      <c r="G2" s="6" t="s">
        <v>12</v>
      </c>
      <c r="H2" s="10" t="s">
        <v>13</v>
      </c>
      <c r="I2" s="6" t="s">
        <v>14</v>
      </c>
      <c r="J2" s="6" t="s">
        <v>14</v>
      </c>
      <c r="K2" s="6" t="s">
        <v>15</v>
      </c>
      <c r="L2" s="6" t="s">
        <v>16</v>
      </c>
      <c r="M2" s="6" t="s">
        <v>17</v>
      </c>
      <c r="N2" s="6"/>
    </row>
    <row r="3" ht="12.75" customHeight="1">
      <c r="B3" s="6" t="s">
        <v>18</v>
      </c>
      <c r="C3" s="7">
        <v>46021.0</v>
      </c>
      <c r="D3" s="8">
        <f t="shared" si="1"/>
        <v>4</v>
      </c>
      <c r="E3" s="9"/>
      <c r="F3" s="11" t="s">
        <v>15</v>
      </c>
      <c r="G3" s="6" t="s">
        <v>14</v>
      </c>
      <c r="H3" s="6" t="s">
        <v>16</v>
      </c>
      <c r="I3" s="6" t="s">
        <v>14</v>
      </c>
      <c r="J3" s="6" t="s">
        <v>17</v>
      </c>
      <c r="K3" s="6" t="s">
        <v>14</v>
      </c>
      <c r="L3" s="6" t="s">
        <v>16</v>
      </c>
      <c r="M3" s="6" t="s">
        <v>12</v>
      </c>
      <c r="N3" s="6"/>
    </row>
    <row r="4" ht="12.75" customHeight="1">
      <c r="B4" s="12" t="s">
        <v>19</v>
      </c>
      <c r="C4" s="7">
        <v>46022.0</v>
      </c>
      <c r="D4" s="8">
        <f t="shared" si="1"/>
        <v>4</v>
      </c>
      <c r="E4" s="13"/>
      <c r="F4" s="6" t="s">
        <v>14</v>
      </c>
      <c r="G4" s="6" t="s">
        <v>15</v>
      </c>
      <c r="H4" s="6" t="s">
        <v>16</v>
      </c>
      <c r="I4" s="14" t="s">
        <v>17</v>
      </c>
      <c r="J4" s="6" t="s">
        <v>12</v>
      </c>
      <c r="K4" s="15" t="s">
        <v>20</v>
      </c>
      <c r="L4" s="6" t="s">
        <v>14</v>
      </c>
      <c r="M4" s="6" t="s">
        <v>14</v>
      </c>
      <c r="N4" s="6"/>
      <c r="P4" s="16"/>
    </row>
    <row r="5" ht="12.75" customHeight="1">
      <c r="B5" s="17" t="s">
        <v>21</v>
      </c>
      <c r="C5" s="7">
        <v>46023.0</v>
      </c>
      <c r="D5" s="18">
        <f t="shared" si="1"/>
        <v>1</v>
      </c>
      <c r="E5" s="19"/>
      <c r="F5" s="17" t="s">
        <v>22</v>
      </c>
      <c r="G5" s="17" t="s">
        <v>22</v>
      </c>
      <c r="H5" s="17" t="s">
        <v>22</v>
      </c>
      <c r="I5" s="17" t="s">
        <v>12</v>
      </c>
      <c r="J5" s="14" t="s">
        <v>15</v>
      </c>
      <c r="K5" s="14" t="s">
        <v>17</v>
      </c>
      <c r="L5" s="17" t="s">
        <v>22</v>
      </c>
      <c r="M5" s="17" t="s">
        <v>22</v>
      </c>
      <c r="N5" s="6"/>
      <c r="P5" s="20" t="s">
        <v>23</v>
      </c>
      <c r="Q5" s="20"/>
      <c r="R5" s="20" t="s">
        <v>24</v>
      </c>
      <c r="S5" s="20" t="s">
        <v>25</v>
      </c>
    </row>
    <row r="6" ht="12.75" customHeight="1">
      <c r="B6" s="12" t="s">
        <v>26</v>
      </c>
      <c r="C6" s="7">
        <v>46024.0</v>
      </c>
      <c r="D6" s="8">
        <f t="shared" si="1"/>
        <v>4</v>
      </c>
      <c r="E6" s="21"/>
      <c r="F6" s="6" t="s">
        <v>14</v>
      </c>
      <c r="G6" s="6" t="s">
        <v>16</v>
      </c>
      <c r="H6" s="6" t="s">
        <v>16</v>
      </c>
      <c r="I6" s="6" t="s">
        <v>14</v>
      </c>
      <c r="J6" s="6" t="s">
        <v>17</v>
      </c>
      <c r="K6" s="6" t="s">
        <v>12</v>
      </c>
      <c r="L6" s="6" t="s">
        <v>15</v>
      </c>
      <c r="M6" s="6" t="s">
        <v>14</v>
      </c>
      <c r="N6" s="6"/>
      <c r="P6" s="22" t="s">
        <v>14</v>
      </c>
      <c r="Q6" s="22" t="s">
        <v>27</v>
      </c>
      <c r="R6" s="23">
        <v>5.0</v>
      </c>
      <c r="S6" s="23">
        <v>1.0</v>
      </c>
    </row>
    <row r="7" ht="12.75" customHeight="1">
      <c r="B7" s="24" t="s">
        <v>28</v>
      </c>
      <c r="C7" s="7">
        <v>46025.0</v>
      </c>
      <c r="D7" s="18">
        <f t="shared" si="1"/>
        <v>3</v>
      </c>
      <c r="E7" s="19"/>
      <c r="F7" s="24" t="s">
        <v>17</v>
      </c>
      <c r="G7" s="24" t="s">
        <v>29</v>
      </c>
      <c r="H7" s="24" t="s">
        <v>14</v>
      </c>
      <c r="I7" s="24" t="s">
        <v>14</v>
      </c>
      <c r="J7" s="24" t="s">
        <v>12</v>
      </c>
      <c r="K7" s="24" t="s">
        <v>30</v>
      </c>
      <c r="L7" s="24" t="s">
        <v>22</v>
      </c>
      <c r="M7" s="24" t="s">
        <v>15</v>
      </c>
      <c r="N7" s="24"/>
      <c r="P7" s="22" t="s">
        <v>15</v>
      </c>
      <c r="Q7" s="22" t="s">
        <v>31</v>
      </c>
      <c r="R7" s="23">
        <v>12.0</v>
      </c>
      <c r="S7" s="23">
        <v>1.0</v>
      </c>
    </row>
    <row r="8" ht="12.75" customHeight="1">
      <c r="B8" s="24" t="s">
        <v>32</v>
      </c>
      <c r="C8" s="7">
        <v>46026.0</v>
      </c>
      <c r="D8" s="18">
        <f t="shared" si="1"/>
        <v>1</v>
      </c>
      <c r="E8" s="19"/>
      <c r="F8" s="24" t="s">
        <v>12</v>
      </c>
      <c r="G8" s="24" t="s">
        <v>22</v>
      </c>
      <c r="H8" s="24" t="s">
        <v>15</v>
      </c>
      <c r="I8" s="24" t="s">
        <v>17</v>
      </c>
      <c r="J8" s="24" t="s">
        <v>22</v>
      </c>
      <c r="K8" s="24" t="s">
        <v>22</v>
      </c>
      <c r="L8" s="24" t="s">
        <v>22</v>
      </c>
      <c r="M8" s="24" t="s">
        <v>22</v>
      </c>
      <c r="N8" s="24"/>
      <c r="P8" s="22" t="s">
        <v>17</v>
      </c>
      <c r="Q8" s="22" t="s">
        <v>33</v>
      </c>
      <c r="R8" s="23">
        <v>12.0</v>
      </c>
      <c r="S8" s="22" t="s">
        <v>34</v>
      </c>
    </row>
    <row r="9" ht="12.75" customHeight="1">
      <c r="B9" s="25" t="s">
        <v>35</v>
      </c>
      <c r="C9" s="26"/>
      <c r="D9" s="8">
        <f t="shared" si="1"/>
        <v>0</v>
      </c>
      <c r="E9" s="27"/>
      <c r="F9" s="28">
        <f t="shared" ref="F9:M9" si="2">COUNTIF(F2:F8,$P$6)*$R$6+COUNTIF(F2:F8,$P$7)*$R$7+COUNTIF(F2:F8,$P$8)*$R$8+COUNTIF(F2:F8,$P$9)*$R$9+COUNTIF(F2:F8,$P$10)*$R$10+COUNTIF(F2:F8,$P$11)*$R$11+COUNTIF(F2:F8,$P$12)*$R$12+COUNTIF(F2:F8,$P$13)*$R$13+COUNTIF(F2:F8,$P$14)*$R$14+COUNTIF(F2:F8,$P$15)*$R$15+COUNTIF(F2:F8,$P$16)*$R$16</f>
        <v>34</v>
      </c>
      <c r="G9" s="28">
        <f t="shared" si="2"/>
        <v>23.33</v>
      </c>
      <c r="H9" s="28">
        <f t="shared" si="2"/>
        <v>41.99</v>
      </c>
      <c r="I9" s="28">
        <f t="shared" si="2"/>
        <v>44</v>
      </c>
      <c r="J9" s="28">
        <f t="shared" si="2"/>
        <v>41</v>
      </c>
      <c r="K9" s="28">
        <f t="shared" si="2"/>
        <v>34</v>
      </c>
      <c r="L9" s="28">
        <f t="shared" si="2"/>
        <v>29.66</v>
      </c>
      <c r="M9" s="28">
        <f t="shared" si="2"/>
        <v>34</v>
      </c>
      <c r="N9" s="29"/>
      <c r="P9" s="22" t="s">
        <v>13</v>
      </c>
      <c r="Q9" s="22" t="s">
        <v>36</v>
      </c>
      <c r="R9" s="23">
        <v>6.0</v>
      </c>
      <c r="S9" s="23">
        <v>1.0</v>
      </c>
    </row>
    <row r="10" ht="12.75" customHeight="1">
      <c r="B10" s="6" t="s">
        <v>10</v>
      </c>
      <c r="C10" s="7" t="s">
        <v>37</v>
      </c>
      <c r="D10" s="8">
        <f t="shared" si="1"/>
        <v>4</v>
      </c>
      <c r="E10" s="9"/>
      <c r="F10" s="6" t="s">
        <v>15</v>
      </c>
      <c r="G10" s="6" t="s">
        <v>14</v>
      </c>
      <c r="H10" s="6" t="s">
        <v>14</v>
      </c>
      <c r="I10" s="6" t="s">
        <v>12</v>
      </c>
      <c r="J10" s="6" t="s">
        <v>38</v>
      </c>
      <c r="K10" s="6" t="s">
        <v>16</v>
      </c>
      <c r="L10" s="10" t="s">
        <v>13</v>
      </c>
      <c r="M10" s="14" t="s">
        <v>17</v>
      </c>
      <c r="N10" s="6"/>
      <c r="P10" s="22" t="s">
        <v>39</v>
      </c>
      <c r="Q10" s="22" t="s">
        <v>40</v>
      </c>
      <c r="R10" s="23">
        <v>7.0</v>
      </c>
      <c r="S10" s="23">
        <v>1.0</v>
      </c>
    </row>
    <row r="11" ht="12.75" customHeight="1">
      <c r="B11" s="17" t="s">
        <v>18</v>
      </c>
      <c r="C11" s="7" t="s">
        <v>41</v>
      </c>
      <c r="D11" s="18">
        <f t="shared" si="1"/>
        <v>1</v>
      </c>
      <c r="E11" s="30"/>
      <c r="F11" s="17" t="s">
        <v>22</v>
      </c>
      <c r="G11" s="14" t="s">
        <v>17</v>
      </c>
      <c r="H11" s="14" t="s">
        <v>15</v>
      </c>
      <c r="I11" s="17" t="s">
        <v>22</v>
      </c>
      <c r="J11" s="17" t="s">
        <v>22</v>
      </c>
      <c r="K11" s="17" t="s">
        <v>22</v>
      </c>
      <c r="L11" s="17" t="s">
        <v>22</v>
      </c>
      <c r="M11" s="17" t="s">
        <v>12</v>
      </c>
      <c r="N11" s="6"/>
      <c r="P11" s="22" t="s">
        <v>42</v>
      </c>
      <c r="Q11" s="22" t="s">
        <v>43</v>
      </c>
      <c r="R11" s="23">
        <v>10.0</v>
      </c>
      <c r="S11" s="23">
        <v>1.0</v>
      </c>
    </row>
    <row r="12" ht="12.75" customHeight="1">
      <c r="B12" s="12" t="s">
        <v>19</v>
      </c>
      <c r="C12" s="7" t="s">
        <v>44</v>
      </c>
      <c r="D12" s="8">
        <f t="shared" si="1"/>
        <v>4</v>
      </c>
      <c r="E12" s="9"/>
      <c r="F12" s="6" t="s">
        <v>22</v>
      </c>
      <c r="G12" s="6" t="s">
        <v>12</v>
      </c>
      <c r="H12" s="11" t="s">
        <v>45</v>
      </c>
      <c r="I12" s="6" t="s">
        <v>17</v>
      </c>
      <c r="J12" s="10" t="s">
        <v>39</v>
      </c>
      <c r="K12" s="6" t="s">
        <v>14</v>
      </c>
      <c r="L12" s="6" t="s">
        <v>15</v>
      </c>
      <c r="M12" s="6" t="s">
        <v>14</v>
      </c>
      <c r="N12" s="6"/>
      <c r="P12" s="22" t="s">
        <v>20</v>
      </c>
      <c r="Q12" s="22" t="s">
        <v>46</v>
      </c>
      <c r="R12" s="23">
        <v>5.0</v>
      </c>
      <c r="S12" s="22" t="s">
        <v>34</v>
      </c>
    </row>
    <row r="13" ht="12.75" customHeight="1">
      <c r="B13" s="12" t="s">
        <v>21</v>
      </c>
      <c r="C13" s="7" t="s">
        <v>47</v>
      </c>
      <c r="D13" s="8">
        <f t="shared" si="1"/>
        <v>4</v>
      </c>
      <c r="E13" s="9"/>
      <c r="F13" s="6" t="s">
        <v>16</v>
      </c>
      <c r="G13" s="6" t="s">
        <v>14</v>
      </c>
      <c r="H13" s="6" t="s">
        <v>17</v>
      </c>
      <c r="I13" s="6" t="s">
        <v>12</v>
      </c>
      <c r="J13" s="6" t="s">
        <v>14</v>
      </c>
      <c r="K13" s="15" t="s">
        <v>48</v>
      </c>
      <c r="L13" s="6" t="s">
        <v>14</v>
      </c>
      <c r="M13" s="6" t="s">
        <v>15</v>
      </c>
      <c r="N13" s="6"/>
      <c r="P13" s="22" t="s">
        <v>48</v>
      </c>
      <c r="Q13" s="22" t="s">
        <v>49</v>
      </c>
      <c r="R13" s="23">
        <v>10.0</v>
      </c>
      <c r="S13" s="22" t="s">
        <v>34</v>
      </c>
    </row>
    <row r="14" ht="12.75" customHeight="1">
      <c r="B14" s="12" t="s">
        <v>26</v>
      </c>
      <c r="C14" s="7" t="s">
        <v>50</v>
      </c>
      <c r="D14" s="8">
        <f t="shared" si="1"/>
        <v>4</v>
      </c>
      <c r="E14" s="9"/>
      <c r="F14" s="6" t="s">
        <v>51</v>
      </c>
      <c r="G14" s="6" t="s">
        <v>15</v>
      </c>
      <c r="H14" s="6" t="s">
        <v>12</v>
      </c>
      <c r="I14" s="15" t="s">
        <v>20</v>
      </c>
      <c r="J14" s="6" t="s">
        <v>14</v>
      </c>
      <c r="K14" s="6" t="s">
        <v>14</v>
      </c>
      <c r="L14" s="6" t="s">
        <v>14</v>
      </c>
      <c r="M14" s="6" t="s">
        <v>17</v>
      </c>
      <c r="N14" s="6"/>
      <c r="P14" s="31" t="s">
        <v>52</v>
      </c>
      <c r="Q14" s="31" t="s">
        <v>53</v>
      </c>
      <c r="R14" s="32">
        <v>6.33</v>
      </c>
      <c r="S14" s="32" t="s">
        <v>34</v>
      </c>
    </row>
    <row r="15" ht="12.75" customHeight="1">
      <c r="B15" s="24" t="s">
        <v>28</v>
      </c>
      <c r="C15" s="7" t="s">
        <v>54</v>
      </c>
      <c r="D15" s="18">
        <f t="shared" si="1"/>
        <v>3</v>
      </c>
      <c r="E15" s="30"/>
      <c r="F15" s="24" t="s">
        <v>17</v>
      </c>
      <c r="G15" s="24" t="s">
        <v>55</v>
      </c>
      <c r="H15" s="24" t="s">
        <v>56</v>
      </c>
      <c r="I15" s="24" t="s">
        <v>14</v>
      </c>
      <c r="J15" s="24" t="s">
        <v>14</v>
      </c>
      <c r="K15" s="24" t="s">
        <v>15</v>
      </c>
      <c r="L15" s="24" t="s">
        <v>22</v>
      </c>
      <c r="M15" s="24" t="s">
        <v>12</v>
      </c>
      <c r="N15" s="24"/>
      <c r="P15" s="31" t="s">
        <v>16</v>
      </c>
      <c r="Q15" s="31" t="s">
        <v>57</v>
      </c>
      <c r="R15" s="32">
        <v>6.33</v>
      </c>
      <c r="S15" s="32" t="s">
        <v>34</v>
      </c>
    </row>
    <row r="16" ht="12.75" customHeight="1">
      <c r="B16" s="24" t="s">
        <v>32</v>
      </c>
      <c r="C16" s="7" t="s">
        <v>58</v>
      </c>
      <c r="D16" s="18">
        <f t="shared" si="1"/>
        <v>1</v>
      </c>
      <c r="E16" s="30"/>
      <c r="F16" s="24" t="s">
        <v>12</v>
      </c>
      <c r="G16" s="24" t="s">
        <v>22</v>
      </c>
      <c r="H16" s="24" t="s">
        <v>22</v>
      </c>
      <c r="I16" s="24" t="s">
        <v>15</v>
      </c>
      <c r="J16" s="24" t="s">
        <v>17</v>
      </c>
      <c r="K16" s="24" t="s">
        <v>22</v>
      </c>
      <c r="L16" s="24" t="s">
        <v>22</v>
      </c>
      <c r="M16" s="24" t="s">
        <v>22</v>
      </c>
      <c r="N16" s="24"/>
      <c r="P16" s="33" t="s">
        <v>59</v>
      </c>
      <c r="Q16" s="33" t="s">
        <v>60</v>
      </c>
      <c r="R16" s="34">
        <v>0.0</v>
      </c>
      <c r="S16" s="34" t="s">
        <v>34</v>
      </c>
    </row>
    <row r="17" ht="12.75" customHeight="1">
      <c r="B17" s="25" t="s">
        <v>35</v>
      </c>
      <c r="C17" s="26"/>
      <c r="D17" s="8">
        <f t="shared" si="1"/>
        <v>0</v>
      </c>
      <c r="E17" s="27"/>
      <c r="F17" s="28">
        <f t="shared" ref="F17:M17" si="3">COUNTIF(F10:F16,$P$6)*$R$6+COUNTIF(F10:F16,$P$7)*$R$7+COUNTIF(F10:F16,$P$8)*$R$8+COUNTIF(F10:F16,$P$9)*$R$9+COUNTIF(F10:F16,$P$10)*$R$10+COUNTIF(F10:F16,$P$11)*$R$11+COUNTIF(F10:F16,$P$12)*$R$12+COUNTIF(F10:F16,$P$13)*$R$13+COUNTIF(F10:F16,$P$14)*$R$14+COUNTIF(F10:F16,$P$15)*$R$15+COUNTIF(F10:F16,$P$16)*$R$16</f>
        <v>30.33</v>
      </c>
      <c r="G17" s="28">
        <f t="shared" si="3"/>
        <v>34</v>
      </c>
      <c r="H17" s="28">
        <f t="shared" si="3"/>
        <v>29</v>
      </c>
      <c r="I17" s="28">
        <f t="shared" si="3"/>
        <v>34</v>
      </c>
      <c r="J17" s="28">
        <f t="shared" si="3"/>
        <v>34</v>
      </c>
      <c r="K17" s="28">
        <f t="shared" si="3"/>
        <v>38.33</v>
      </c>
      <c r="L17" s="28">
        <f t="shared" si="3"/>
        <v>28</v>
      </c>
      <c r="M17" s="28">
        <f t="shared" si="3"/>
        <v>41</v>
      </c>
      <c r="N17" s="28"/>
    </row>
    <row r="18" ht="12.75" customHeight="1">
      <c r="B18" s="6" t="s">
        <v>10</v>
      </c>
      <c r="C18" s="7" t="s">
        <v>61</v>
      </c>
      <c r="D18" s="8">
        <f t="shared" si="1"/>
        <v>4</v>
      </c>
      <c r="E18" s="6"/>
      <c r="F18" s="15" t="s">
        <v>20</v>
      </c>
      <c r="G18" s="6" t="s">
        <v>17</v>
      </c>
      <c r="H18" s="10" t="s">
        <v>13</v>
      </c>
      <c r="I18" s="6" t="s">
        <v>45</v>
      </c>
      <c r="J18" s="6" t="s">
        <v>12</v>
      </c>
      <c r="K18" s="6" t="s">
        <v>14</v>
      </c>
      <c r="L18" s="6" t="s">
        <v>15</v>
      </c>
      <c r="M18" s="6" t="s">
        <v>14</v>
      </c>
      <c r="N18" s="6"/>
      <c r="R18" s="16"/>
      <c r="S18" s="16"/>
    </row>
    <row r="19" ht="12.75" customHeight="1">
      <c r="B19" s="12" t="s">
        <v>18</v>
      </c>
      <c r="C19" s="7" t="s">
        <v>62</v>
      </c>
      <c r="D19" s="8">
        <f t="shared" si="1"/>
        <v>4</v>
      </c>
      <c r="E19" s="6"/>
      <c r="F19" s="15" t="s">
        <v>20</v>
      </c>
      <c r="G19" s="6" t="s">
        <v>12</v>
      </c>
      <c r="H19" s="6" t="s">
        <v>14</v>
      </c>
      <c r="I19" s="6" t="s">
        <v>14</v>
      </c>
      <c r="J19" s="14" t="s">
        <v>63</v>
      </c>
      <c r="K19" s="6" t="s">
        <v>14</v>
      </c>
      <c r="L19" s="6" t="s">
        <v>17</v>
      </c>
      <c r="M19" s="6" t="s">
        <v>15</v>
      </c>
      <c r="N19" s="6"/>
      <c r="R19" s="16"/>
      <c r="S19" s="16"/>
    </row>
    <row r="20" ht="12.75" customHeight="1">
      <c r="B20" s="12" t="s">
        <v>19</v>
      </c>
      <c r="C20" s="7" t="s">
        <v>64</v>
      </c>
      <c r="D20" s="8">
        <f t="shared" si="1"/>
        <v>4</v>
      </c>
      <c r="E20" s="6"/>
      <c r="F20" s="6" t="s">
        <v>17</v>
      </c>
      <c r="G20" s="6" t="s">
        <v>14</v>
      </c>
      <c r="H20" s="6" t="s">
        <v>15</v>
      </c>
      <c r="I20" s="15" t="s">
        <v>20</v>
      </c>
      <c r="J20" s="35" t="s">
        <v>39</v>
      </c>
      <c r="K20" s="15" t="s">
        <v>20</v>
      </c>
      <c r="L20" s="6" t="s">
        <v>12</v>
      </c>
      <c r="M20" s="6" t="s">
        <v>14</v>
      </c>
      <c r="N20" s="6"/>
      <c r="R20" s="16"/>
      <c r="S20" s="16"/>
    </row>
    <row r="21" ht="12.75" customHeight="1">
      <c r="B21" s="12" t="s">
        <v>21</v>
      </c>
      <c r="C21" s="7" t="s">
        <v>65</v>
      </c>
      <c r="D21" s="8">
        <f t="shared" si="1"/>
        <v>5</v>
      </c>
      <c r="E21" s="6"/>
      <c r="F21" s="6" t="s">
        <v>12</v>
      </c>
      <c r="G21" s="6" t="s">
        <v>14</v>
      </c>
      <c r="H21" s="6" t="s">
        <v>17</v>
      </c>
      <c r="I21" s="15" t="s">
        <v>48</v>
      </c>
      <c r="J21" s="6" t="s">
        <v>14</v>
      </c>
      <c r="K21" s="36" t="s">
        <v>15</v>
      </c>
      <c r="L21" s="36" t="s">
        <v>14</v>
      </c>
      <c r="M21" s="6" t="s">
        <v>14</v>
      </c>
      <c r="N21" s="6"/>
      <c r="O21" s="37" t="s">
        <v>66</v>
      </c>
      <c r="R21" s="16"/>
      <c r="S21" s="16"/>
    </row>
    <row r="22" ht="12.75" customHeight="1">
      <c r="B22" s="6" t="s">
        <v>26</v>
      </c>
      <c r="C22" s="7" t="s">
        <v>67</v>
      </c>
      <c r="D22" s="8">
        <f t="shared" si="1"/>
        <v>4</v>
      </c>
      <c r="E22" s="6"/>
      <c r="F22" s="15" t="s">
        <v>20</v>
      </c>
      <c r="G22" s="6" t="s">
        <v>14</v>
      </c>
      <c r="H22" s="6" t="s">
        <v>12</v>
      </c>
      <c r="I22" s="6" t="s">
        <v>14</v>
      </c>
      <c r="J22" s="6" t="s">
        <v>15</v>
      </c>
      <c r="K22" s="6" t="s">
        <v>17</v>
      </c>
      <c r="L22" s="6" t="s">
        <v>16</v>
      </c>
      <c r="M22" s="6" t="s">
        <v>14</v>
      </c>
      <c r="N22" s="6"/>
    </row>
    <row r="23" ht="12.75" customHeight="1">
      <c r="B23" s="24" t="s">
        <v>28</v>
      </c>
      <c r="C23" s="7" t="s">
        <v>68</v>
      </c>
      <c r="D23" s="18">
        <f t="shared" si="1"/>
        <v>3</v>
      </c>
      <c r="E23" s="17"/>
      <c r="F23" s="17" t="s">
        <v>15</v>
      </c>
      <c r="G23" s="17" t="s">
        <v>14</v>
      </c>
      <c r="H23" s="17" t="s">
        <v>22</v>
      </c>
      <c r="I23" s="17" t="s">
        <v>69</v>
      </c>
      <c r="J23" s="14" t="s">
        <v>17</v>
      </c>
      <c r="K23" s="17" t="s">
        <v>12</v>
      </c>
      <c r="L23" s="17" t="s">
        <v>14</v>
      </c>
      <c r="M23" s="17" t="s">
        <v>70</v>
      </c>
      <c r="N23" s="24"/>
    </row>
    <row r="24" ht="12.75" customHeight="1">
      <c r="B24" s="24" t="s">
        <v>32</v>
      </c>
      <c r="C24" s="7" t="s">
        <v>71</v>
      </c>
      <c r="D24" s="18">
        <f t="shared" si="1"/>
        <v>1</v>
      </c>
      <c r="E24" s="30"/>
      <c r="F24" s="17" t="s">
        <v>22</v>
      </c>
      <c r="G24" s="17" t="s">
        <v>15</v>
      </c>
      <c r="H24" s="17" t="s">
        <v>22</v>
      </c>
      <c r="I24" s="17" t="s">
        <v>22</v>
      </c>
      <c r="J24" s="17" t="s">
        <v>12</v>
      </c>
      <c r="K24" s="17" t="s">
        <v>22</v>
      </c>
      <c r="L24" s="17" t="s">
        <v>22</v>
      </c>
      <c r="M24" s="17" t="s">
        <v>17</v>
      </c>
      <c r="N24" s="24"/>
    </row>
    <row r="25" ht="12.75" customHeight="1">
      <c r="B25" s="25" t="s">
        <v>35</v>
      </c>
      <c r="C25" s="26"/>
      <c r="D25" s="8">
        <f t="shared" si="1"/>
        <v>0</v>
      </c>
      <c r="E25" s="27"/>
      <c r="F25" s="28">
        <f t="shared" ref="F25:M25" si="4">COUNTIF(F18:F24,$P$6)*$R$6+COUNTIF(F18:F24,$P$7)*$R$7+COUNTIF(F18:F24,$P$8)*$R$8+COUNTIF(F18:F24,$P$9)*$R$9+COUNTIF(F18:F24,$P$10)*$R$10+COUNTIF(F18:F24,$P$11)*$R$11+COUNTIF(F18:F24,$P$12)*$R$12+COUNTIF(F18:F24,$P$13)*$R$13+COUNTIF(F18:F24,$P$14)*$R$14+COUNTIF(F18:F24,$P$15)*$R$15+COUNTIF(F18:F24,$P$16)*$R$16</f>
        <v>39</v>
      </c>
      <c r="G25" s="28">
        <f t="shared" si="4"/>
        <v>44</v>
      </c>
      <c r="H25" s="28">
        <f t="shared" si="4"/>
        <v>35</v>
      </c>
      <c r="I25" s="28">
        <f t="shared" si="4"/>
        <v>25</v>
      </c>
      <c r="J25" s="28">
        <f t="shared" si="4"/>
        <v>36</v>
      </c>
      <c r="K25" s="28">
        <f t="shared" si="4"/>
        <v>39</v>
      </c>
      <c r="L25" s="28">
        <f t="shared" si="4"/>
        <v>40.33</v>
      </c>
      <c r="M25" s="28">
        <f t="shared" si="4"/>
        <v>44</v>
      </c>
      <c r="N25" s="28"/>
    </row>
    <row r="26" ht="12.75" customHeight="1">
      <c r="B26" s="6" t="s">
        <v>10</v>
      </c>
      <c r="C26" s="7" t="s">
        <v>72</v>
      </c>
      <c r="D26" s="8">
        <f t="shared" si="1"/>
        <v>5</v>
      </c>
      <c r="E26" s="9"/>
      <c r="F26" s="6" t="s">
        <v>14</v>
      </c>
      <c r="G26" s="6" t="s">
        <v>73</v>
      </c>
      <c r="H26" s="6" t="s">
        <v>14</v>
      </c>
      <c r="I26" s="6" t="s">
        <v>15</v>
      </c>
      <c r="J26" s="14" t="s">
        <v>74</v>
      </c>
      <c r="K26" s="6" t="s">
        <v>17</v>
      </c>
      <c r="L26" s="10" t="s">
        <v>13</v>
      </c>
      <c r="M26" s="6" t="s">
        <v>12</v>
      </c>
      <c r="N26" s="6" t="s">
        <v>14</v>
      </c>
    </row>
    <row r="27" ht="12.75" customHeight="1">
      <c r="B27" s="6" t="s">
        <v>18</v>
      </c>
      <c r="C27" s="7" t="s">
        <v>75</v>
      </c>
      <c r="D27" s="8">
        <f t="shared" si="1"/>
        <v>5</v>
      </c>
      <c r="E27" s="9"/>
      <c r="F27" s="15" t="s">
        <v>20</v>
      </c>
      <c r="G27" s="6" t="s">
        <v>17</v>
      </c>
      <c r="H27" s="6" t="s">
        <v>15</v>
      </c>
      <c r="I27" s="6" t="s">
        <v>14</v>
      </c>
      <c r="J27" s="6" t="s">
        <v>14</v>
      </c>
      <c r="K27" s="6" t="s">
        <v>12</v>
      </c>
      <c r="L27" s="6" t="s">
        <v>14</v>
      </c>
      <c r="M27" s="6" t="s">
        <v>76</v>
      </c>
      <c r="N27" s="6" t="s">
        <v>14</v>
      </c>
    </row>
    <row r="28" ht="12.75" customHeight="1">
      <c r="B28" s="12" t="s">
        <v>19</v>
      </c>
      <c r="C28" s="7" t="s">
        <v>77</v>
      </c>
      <c r="D28" s="8">
        <f t="shared" si="1"/>
        <v>4</v>
      </c>
      <c r="E28" s="13"/>
      <c r="F28" s="38" t="s">
        <v>20</v>
      </c>
      <c r="G28" s="6" t="s">
        <v>12</v>
      </c>
      <c r="H28" s="39" t="s">
        <v>22</v>
      </c>
      <c r="I28" s="39" t="s">
        <v>17</v>
      </c>
      <c r="J28" s="39" t="s">
        <v>15</v>
      </c>
      <c r="K28" s="15" t="s">
        <v>20</v>
      </c>
      <c r="L28" s="39" t="s">
        <v>14</v>
      </c>
      <c r="M28" s="6" t="s">
        <v>14</v>
      </c>
      <c r="N28" s="6" t="s">
        <v>14</v>
      </c>
    </row>
    <row r="29" ht="12.75" customHeight="1">
      <c r="B29" s="6" t="s">
        <v>21</v>
      </c>
      <c r="C29" s="7" t="s">
        <v>78</v>
      </c>
      <c r="D29" s="8">
        <f t="shared" si="1"/>
        <v>6</v>
      </c>
      <c r="E29" s="21"/>
      <c r="F29" s="40" t="s">
        <v>48</v>
      </c>
      <c r="G29" s="10" t="s">
        <v>39</v>
      </c>
      <c r="H29" s="41" t="s">
        <v>14</v>
      </c>
      <c r="I29" s="41" t="s">
        <v>12</v>
      </c>
      <c r="J29" s="41" t="s">
        <v>14</v>
      </c>
      <c r="K29" s="36" t="s">
        <v>15</v>
      </c>
      <c r="L29" s="41" t="s">
        <v>17</v>
      </c>
      <c r="M29" s="6" t="s">
        <v>14</v>
      </c>
      <c r="N29" s="6" t="s">
        <v>14</v>
      </c>
      <c r="O29" s="37" t="s">
        <v>66</v>
      </c>
    </row>
    <row r="30" ht="12.75" customHeight="1">
      <c r="B30" s="6" t="s">
        <v>26</v>
      </c>
      <c r="C30" s="7" t="s">
        <v>79</v>
      </c>
      <c r="D30" s="8">
        <f t="shared" si="1"/>
        <v>5</v>
      </c>
      <c r="E30" s="21"/>
      <c r="F30" s="40" t="s">
        <v>20</v>
      </c>
      <c r="G30" s="6" t="s">
        <v>15</v>
      </c>
      <c r="H30" s="41" t="s">
        <v>14</v>
      </c>
      <c r="I30" s="41" t="s">
        <v>14</v>
      </c>
      <c r="J30" s="42" t="s">
        <v>17</v>
      </c>
      <c r="K30" s="15" t="s">
        <v>20</v>
      </c>
      <c r="L30" s="41" t="s">
        <v>12</v>
      </c>
      <c r="M30" s="41" t="s">
        <v>14</v>
      </c>
      <c r="N30" s="6" t="s">
        <v>14</v>
      </c>
    </row>
    <row r="31" ht="12.75" customHeight="1">
      <c r="B31" s="24" t="s">
        <v>28</v>
      </c>
      <c r="C31" s="7" t="s">
        <v>80</v>
      </c>
      <c r="D31" s="18">
        <f t="shared" si="1"/>
        <v>4</v>
      </c>
      <c r="E31" s="19"/>
      <c r="F31" s="42" t="s">
        <v>22</v>
      </c>
      <c r="G31" s="17" t="s">
        <v>22</v>
      </c>
      <c r="H31" s="43" t="s">
        <v>17</v>
      </c>
      <c r="I31" s="43" t="s">
        <v>15</v>
      </c>
      <c r="J31" s="43" t="s">
        <v>12</v>
      </c>
      <c r="K31" s="17" t="s">
        <v>22</v>
      </c>
      <c r="L31" s="43" t="s">
        <v>14</v>
      </c>
      <c r="M31" s="43" t="s">
        <v>14</v>
      </c>
      <c r="N31" s="17" t="s">
        <v>14</v>
      </c>
    </row>
    <row r="32" ht="12.75" customHeight="1">
      <c r="B32" s="24" t="s">
        <v>32</v>
      </c>
      <c r="C32" s="7" t="s">
        <v>81</v>
      </c>
      <c r="D32" s="18">
        <f t="shared" si="1"/>
        <v>1</v>
      </c>
      <c r="E32" s="19"/>
      <c r="F32" s="42" t="s">
        <v>22</v>
      </c>
      <c r="G32" s="43" t="s">
        <v>22</v>
      </c>
      <c r="H32" s="43" t="s">
        <v>12</v>
      </c>
      <c r="I32" s="43" t="s">
        <v>22</v>
      </c>
      <c r="J32" s="43" t="s">
        <v>22</v>
      </c>
      <c r="K32" s="43" t="s">
        <v>22</v>
      </c>
      <c r="L32" s="43" t="s">
        <v>17</v>
      </c>
      <c r="M32" s="43" t="s">
        <v>15</v>
      </c>
      <c r="N32" s="17" t="s">
        <v>22</v>
      </c>
    </row>
    <row r="33" ht="12.75" customHeight="1">
      <c r="B33" s="25" t="s">
        <v>35</v>
      </c>
      <c r="C33" s="26"/>
      <c r="D33" s="8">
        <f t="shared" si="1"/>
        <v>0</v>
      </c>
      <c r="E33" s="27"/>
      <c r="F33" s="28">
        <f t="shared" ref="F33:N33" si="5">COUNTIF(F26:F32,$P$6)*$R$6+COUNTIF(F26:F32,$P$7)*$R$7+COUNTIF(F26:F32,$P$8)*$R$8+COUNTIF(F26:F32,$P$9)*$R$9+COUNTIF(F26:F32,$P$10)*$R$10+COUNTIF(F26:F32,$P$11)*$R$11+COUNTIF(F26:F32,$P$12)*$R$12+COUNTIF(F26:F32,$P$13)*$R$13+COUNTIF(F26:F32,$P$14)*$R$14+COUNTIF(F26:F32,$P$15)*$R$15+COUNTIF(F26:F32,$P$16)*$R$16</f>
        <v>30</v>
      </c>
      <c r="G33" s="28">
        <f t="shared" si="5"/>
        <v>31</v>
      </c>
      <c r="H33" s="28">
        <f t="shared" si="5"/>
        <v>39</v>
      </c>
      <c r="I33" s="28">
        <f t="shared" si="5"/>
        <v>46</v>
      </c>
      <c r="J33" s="28">
        <f t="shared" si="5"/>
        <v>34</v>
      </c>
      <c r="K33" s="28">
        <f t="shared" si="5"/>
        <v>34</v>
      </c>
      <c r="L33" s="28">
        <f t="shared" si="5"/>
        <v>45</v>
      </c>
      <c r="M33" s="44">
        <f t="shared" si="5"/>
        <v>32</v>
      </c>
      <c r="N33" s="28">
        <f t="shared" si="5"/>
        <v>30</v>
      </c>
    </row>
    <row r="34" ht="12.75" customHeight="1">
      <c r="B34" s="6" t="s">
        <v>10</v>
      </c>
      <c r="C34" s="7" t="s">
        <v>82</v>
      </c>
      <c r="D34" s="8">
        <f t="shared" si="1"/>
        <v>6</v>
      </c>
      <c r="E34" s="9"/>
      <c r="F34" s="36" t="s">
        <v>15</v>
      </c>
      <c r="G34" s="6" t="s">
        <v>14</v>
      </c>
      <c r="H34" s="10" t="s">
        <v>13</v>
      </c>
      <c r="I34" s="6" t="s">
        <v>17</v>
      </c>
      <c r="J34" s="6" t="s">
        <v>14</v>
      </c>
      <c r="K34" s="15" t="s">
        <v>20</v>
      </c>
      <c r="L34" s="6" t="s">
        <v>12</v>
      </c>
      <c r="M34" s="6" t="s">
        <v>14</v>
      </c>
      <c r="N34" s="6" t="s">
        <v>14</v>
      </c>
      <c r="O34" s="37" t="s">
        <v>66</v>
      </c>
      <c r="R34" s="45"/>
      <c r="S34" s="45"/>
    </row>
    <row r="35" ht="12.75" customHeight="1">
      <c r="B35" s="12" t="s">
        <v>18</v>
      </c>
      <c r="C35" s="7" t="s">
        <v>83</v>
      </c>
      <c r="D35" s="8">
        <f t="shared" si="1"/>
        <v>5</v>
      </c>
      <c r="E35" s="9"/>
      <c r="F35" s="46" t="s">
        <v>20</v>
      </c>
      <c r="G35" s="6" t="s">
        <v>14</v>
      </c>
      <c r="H35" s="6" t="s">
        <v>17</v>
      </c>
      <c r="I35" s="6" t="s">
        <v>12</v>
      </c>
      <c r="J35" s="6" t="s">
        <v>14</v>
      </c>
      <c r="K35" s="15" t="s">
        <v>20</v>
      </c>
      <c r="L35" s="6" t="s">
        <v>15</v>
      </c>
      <c r="M35" s="6" t="s">
        <v>14</v>
      </c>
      <c r="N35" s="6" t="s">
        <v>14</v>
      </c>
      <c r="R35" s="45"/>
      <c r="S35" s="45"/>
    </row>
    <row r="36" ht="12.75" customHeight="1">
      <c r="B36" s="12" t="s">
        <v>19</v>
      </c>
      <c r="C36" s="7" t="s">
        <v>84</v>
      </c>
      <c r="D36" s="8">
        <f t="shared" si="1"/>
        <v>5</v>
      </c>
      <c r="E36" s="9"/>
      <c r="F36" s="15" t="s">
        <v>20</v>
      </c>
      <c r="G36" s="10" t="s">
        <v>39</v>
      </c>
      <c r="H36" s="6" t="s">
        <v>12</v>
      </c>
      <c r="I36" s="6" t="s">
        <v>14</v>
      </c>
      <c r="J36" s="6" t="s">
        <v>15</v>
      </c>
      <c r="K36" s="15" t="s">
        <v>20</v>
      </c>
      <c r="L36" s="6" t="s">
        <v>14</v>
      </c>
      <c r="M36" s="14" t="s">
        <v>17</v>
      </c>
      <c r="N36" s="6" t="s">
        <v>14</v>
      </c>
      <c r="R36" s="45"/>
      <c r="S36" s="45"/>
    </row>
    <row r="37" ht="12.75" customHeight="1">
      <c r="B37" s="6" t="s">
        <v>21</v>
      </c>
      <c r="C37" s="7" t="s">
        <v>85</v>
      </c>
      <c r="D37" s="8">
        <f t="shared" si="1"/>
        <v>5</v>
      </c>
      <c r="E37" s="47"/>
      <c r="F37" s="15" t="s">
        <v>42</v>
      </c>
      <c r="G37" s="6" t="s">
        <v>14</v>
      </c>
      <c r="H37" s="14" t="s">
        <v>86</v>
      </c>
      <c r="I37" s="6" t="s">
        <v>15</v>
      </c>
      <c r="J37" s="6" t="s">
        <v>14</v>
      </c>
      <c r="K37" s="6" t="s">
        <v>17</v>
      </c>
      <c r="L37" s="6" t="s">
        <v>87</v>
      </c>
      <c r="M37" s="14" t="s">
        <v>12</v>
      </c>
      <c r="N37" s="6" t="s">
        <v>14</v>
      </c>
      <c r="R37" s="45"/>
      <c r="S37" s="45"/>
    </row>
    <row r="38" ht="12.75" customHeight="1">
      <c r="B38" s="6" t="s">
        <v>26</v>
      </c>
      <c r="C38" s="7" t="s">
        <v>88</v>
      </c>
      <c r="D38" s="8">
        <f t="shared" si="1"/>
        <v>5</v>
      </c>
      <c r="E38" s="47"/>
      <c r="F38" s="6" t="s">
        <v>17</v>
      </c>
      <c r="G38" s="6" t="s">
        <v>14</v>
      </c>
      <c r="H38" s="6" t="s">
        <v>14</v>
      </c>
      <c r="I38" s="15" t="s">
        <v>20</v>
      </c>
      <c r="J38" s="6" t="s">
        <v>14</v>
      </c>
      <c r="K38" s="6" t="s">
        <v>12</v>
      </c>
      <c r="L38" s="6" t="s">
        <v>15</v>
      </c>
      <c r="M38" s="14" t="s">
        <v>89</v>
      </c>
      <c r="N38" s="41" t="s">
        <v>14</v>
      </c>
      <c r="R38" s="45"/>
      <c r="S38" s="45"/>
    </row>
    <row r="39" ht="12.75" customHeight="1">
      <c r="B39" s="24" t="s">
        <v>28</v>
      </c>
      <c r="C39" s="7" t="s">
        <v>90</v>
      </c>
      <c r="D39" s="18">
        <f t="shared" si="1"/>
        <v>4</v>
      </c>
      <c r="E39" s="19"/>
      <c r="F39" s="24" t="s">
        <v>12</v>
      </c>
      <c r="G39" s="24" t="s">
        <v>15</v>
      </c>
      <c r="H39" s="24" t="s">
        <v>14</v>
      </c>
      <c r="I39" s="24" t="s">
        <v>22</v>
      </c>
      <c r="J39" s="24" t="s">
        <v>22</v>
      </c>
      <c r="K39" s="24" t="s">
        <v>14</v>
      </c>
      <c r="L39" s="24" t="s">
        <v>22</v>
      </c>
      <c r="M39" s="24" t="s">
        <v>17</v>
      </c>
      <c r="N39" s="43" t="s">
        <v>14</v>
      </c>
      <c r="R39" s="16"/>
      <c r="S39" s="16"/>
    </row>
    <row r="40" ht="12.75" customHeight="1">
      <c r="B40" s="24" t="s">
        <v>32</v>
      </c>
      <c r="C40" s="7" t="s">
        <v>91</v>
      </c>
      <c r="D40" s="18">
        <f t="shared" si="1"/>
        <v>1</v>
      </c>
      <c r="E40" s="30"/>
      <c r="F40" s="24" t="s">
        <v>22</v>
      </c>
      <c r="G40" s="24" t="s">
        <v>22</v>
      </c>
      <c r="H40" s="24" t="s">
        <v>17</v>
      </c>
      <c r="I40" s="24" t="s">
        <v>22</v>
      </c>
      <c r="J40" s="24" t="s">
        <v>22</v>
      </c>
      <c r="K40" s="24" t="s">
        <v>15</v>
      </c>
      <c r="L40" s="24" t="s">
        <v>22</v>
      </c>
      <c r="M40" s="24" t="s">
        <v>12</v>
      </c>
      <c r="N40" s="43" t="s">
        <v>22</v>
      </c>
      <c r="R40" s="16"/>
      <c r="S40" s="16"/>
    </row>
    <row r="41" ht="12.75" customHeight="1">
      <c r="B41" s="25" t="s">
        <v>35</v>
      </c>
      <c r="C41" s="26"/>
      <c r="D41" s="8">
        <f t="shared" si="1"/>
        <v>0</v>
      </c>
      <c r="E41" s="48"/>
      <c r="F41" s="29">
        <f t="shared" ref="F41:N41" si="6">COUNTIF(F34:F40,$P$6)*$R$6+COUNTIF(F34:F40,$P$7)*$R$7+COUNTIF(F34:F40,$P$8)*$R$8+COUNTIF(F34:F40,$P$9)*$R$9+COUNTIF(F34:F40,$P$10)*$R$10+COUNTIF(F34:F40,$P$11)*$R$11+COUNTIF(F34:F40,$P$12)*$R$12+COUNTIF(F34:F40,$P$13)*$R$13+COUNTIF(F34:F40,$P$14)*$R$14+COUNTIF(F34:F40,$P$15)*$R$15+COUNTIF(F34:F40,$P$16)*$R$16</f>
        <v>44</v>
      </c>
      <c r="G41" s="29">
        <f t="shared" si="6"/>
        <v>39</v>
      </c>
      <c r="H41" s="29">
        <f t="shared" si="6"/>
        <v>40</v>
      </c>
      <c r="I41" s="29">
        <f t="shared" si="6"/>
        <v>34</v>
      </c>
      <c r="J41" s="29">
        <f t="shared" si="6"/>
        <v>32</v>
      </c>
      <c r="K41" s="29">
        <f t="shared" si="6"/>
        <v>44</v>
      </c>
      <c r="L41" s="29">
        <f t="shared" si="6"/>
        <v>29</v>
      </c>
      <c r="M41" s="29">
        <f t="shared" si="6"/>
        <v>34</v>
      </c>
      <c r="N41" s="49">
        <f t="shared" si="6"/>
        <v>30</v>
      </c>
      <c r="R41" s="16"/>
      <c r="S41" s="16"/>
    </row>
    <row r="42" ht="12.75" customHeight="1">
      <c r="B42" s="50" t="s">
        <v>92</v>
      </c>
      <c r="C42" s="26"/>
      <c r="D42" s="51" t="s">
        <v>93</v>
      </c>
      <c r="E42" s="26"/>
      <c r="F42" s="29">
        <f t="shared" ref="F42:N42" si="7">(F9+F17+F25+F33+F41)</f>
        <v>177.33</v>
      </c>
      <c r="G42" s="29">
        <f t="shared" si="7"/>
        <v>171.33</v>
      </c>
      <c r="H42" s="29">
        <f t="shared" si="7"/>
        <v>184.99</v>
      </c>
      <c r="I42" s="29">
        <f t="shared" si="7"/>
        <v>183</v>
      </c>
      <c r="J42" s="29">
        <f t="shared" si="7"/>
        <v>177</v>
      </c>
      <c r="K42" s="29">
        <f t="shared" si="7"/>
        <v>189.33</v>
      </c>
      <c r="L42" s="29">
        <f t="shared" si="7"/>
        <v>171.99</v>
      </c>
      <c r="M42" s="29">
        <f t="shared" si="7"/>
        <v>185</v>
      </c>
      <c r="N42" s="29">
        <f t="shared" si="7"/>
        <v>60</v>
      </c>
      <c r="R42" s="16"/>
      <c r="S42" s="16"/>
    </row>
    <row r="43" ht="12.75" customHeight="1">
      <c r="B43" s="52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R43" s="16"/>
      <c r="S43" s="16"/>
    </row>
    <row r="44" ht="12.75" customHeight="1">
      <c r="F44" s="54" t="s">
        <v>1</v>
      </c>
      <c r="G44" s="54" t="s">
        <v>2</v>
      </c>
      <c r="H44" s="54" t="s">
        <v>3</v>
      </c>
      <c r="I44" s="54" t="s">
        <v>4</v>
      </c>
      <c r="J44" s="54" t="s">
        <v>5</v>
      </c>
      <c r="K44" s="54" t="s">
        <v>6</v>
      </c>
      <c r="L44" s="54" t="s">
        <v>7</v>
      </c>
      <c r="M44" s="54" t="s">
        <v>8</v>
      </c>
      <c r="N44" s="4" t="s">
        <v>9</v>
      </c>
      <c r="R44" s="16"/>
      <c r="S44" s="16"/>
    </row>
    <row r="45" ht="12.75" customHeight="1"/>
    <row r="46" ht="12.75" customHeight="1">
      <c r="E46" s="55" t="s">
        <v>15</v>
      </c>
      <c r="F46" s="55">
        <v>3.0</v>
      </c>
      <c r="G46" s="55">
        <v>4.0</v>
      </c>
      <c r="H46" s="55">
        <v>4.0</v>
      </c>
      <c r="I46" s="55">
        <v>4.0</v>
      </c>
      <c r="J46" s="55">
        <v>4.0</v>
      </c>
      <c r="K46" s="55">
        <v>3.0</v>
      </c>
      <c r="L46" s="55">
        <v>5.0</v>
      </c>
      <c r="M46" s="55">
        <v>4.0</v>
      </c>
      <c r="N46" s="55">
        <v>0.0</v>
      </c>
    </row>
    <row r="47" ht="12.75" customHeight="1">
      <c r="E47" s="55" t="s">
        <v>17</v>
      </c>
      <c r="F47" s="55">
        <v>4.0</v>
      </c>
      <c r="G47" s="55">
        <v>3.0</v>
      </c>
      <c r="H47" s="55">
        <v>4.0</v>
      </c>
      <c r="I47" s="55">
        <v>4.0</v>
      </c>
      <c r="J47" s="55">
        <v>4.0</v>
      </c>
      <c r="K47" s="55">
        <v>4.0</v>
      </c>
      <c r="L47" s="55">
        <v>4.0</v>
      </c>
      <c r="M47" s="55">
        <v>4.0</v>
      </c>
      <c r="N47" s="55">
        <v>0.0</v>
      </c>
    </row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B9:C9"/>
    <mergeCell ref="B17:C17"/>
    <mergeCell ref="B25:C25"/>
    <mergeCell ref="B33:C33"/>
    <mergeCell ref="B41:C41"/>
    <mergeCell ref="B42:C42"/>
    <mergeCell ref="D42:E42"/>
  </mergeCells>
  <printOptions/>
  <pageMargins bottom="0.0" footer="0.0" header="0.0" left="0.0" right="0.0" top="0.0"/>
  <pageSetup paperSize="9" orientation="portrait"/>
  <headerFooter>
    <oddHeader>&amp;Cffffff&amp;A</oddHeader>
    <oddFooter>&amp;CffffffPagina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9" width="10.0"/>
    <col customWidth="1" min="20" max="26" width="6.5"/>
  </cols>
  <sheetData>
    <row r="1" ht="12.75" customHeight="1">
      <c r="D1" s="1" t="s">
        <v>0</v>
      </c>
      <c r="E1" s="2"/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4" t="s">
        <v>8</v>
      </c>
      <c r="N1" s="54" t="s">
        <v>9</v>
      </c>
      <c r="P1" s="5"/>
      <c r="Q1" s="5"/>
      <c r="R1" s="5"/>
      <c r="S1" s="5"/>
    </row>
    <row r="2" ht="12.75" customHeight="1">
      <c r="B2" s="6" t="s">
        <v>10</v>
      </c>
      <c r="C2" s="7" t="s">
        <v>82</v>
      </c>
      <c r="D2" s="8">
        <f t="shared" ref="D2:D40" si="1">COUNTIF(E2:N2,$P$6)*$S$6+COUNTIF(E2:N2,$P$7)*$S$7+COUNTIF(E2:N2,$P$9)*$S$9+COUNTIF(E2:N2,$P$10)*$S$10+COUNTIF(E2:N2,$P$11)*$S$11</f>
        <v>5</v>
      </c>
      <c r="E2" s="9"/>
      <c r="F2" s="36" t="s">
        <v>15</v>
      </c>
      <c r="G2" s="6" t="s">
        <v>14</v>
      </c>
      <c r="H2" s="10" t="s">
        <v>13</v>
      </c>
      <c r="I2" s="6" t="s">
        <v>17</v>
      </c>
      <c r="J2" s="6" t="s">
        <v>14</v>
      </c>
      <c r="K2" s="15" t="s">
        <v>20</v>
      </c>
      <c r="L2" s="6" t="s">
        <v>12</v>
      </c>
      <c r="M2" s="6" t="s">
        <v>14</v>
      </c>
      <c r="N2" s="6"/>
    </row>
    <row r="3" ht="12.75" customHeight="1">
      <c r="B3" s="12" t="s">
        <v>18</v>
      </c>
      <c r="C3" s="7" t="s">
        <v>83</v>
      </c>
      <c r="D3" s="8">
        <f t="shared" si="1"/>
        <v>4</v>
      </c>
      <c r="E3" s="9"/>
      <c r="F3" s="46" t="s">
        <v>20</v>
      </c>
      <c r="G3" s="6" t="s">
        <v>14</v>
      </c>
      <c r="H3" s="6" t="s">
        <v>17</v>
      </c>
      <c r="I3" s="6" t="s">
        <v>12</v>
      </c>
      <c r="J3" s="6" t="s">
        <v>14</v>
      </c>
      <c r="K3" s="15" t="s">
        <v>20</v>
      </c>
      <c r="L3" s="6" t="s">
        <v>15</v>
      </c>
      <c r="M3" s="6" t="s">
        <v>14</v>
      </c>
      <c r="N3" s="6"/>
    </row>
    <row r="4" ht="12.75" customHeight="1">
      <c r="B4" s="12" t="s">
        <v>19</v>
      </c>
      <c r="C4" s="7" t="s">
        <v>84</v>
      </c>
      <c r="D4" s="8">
        <f t="shared" si="1"/>
        <v>4</v>
      </c>
      <c r="E4" s="9"/>
      <c r="F4" s="15" t="s">
        <v>20</v>
      </c>
      <c r="G4" s="10" t="s">
        <v>39</v>
      </c>
      <c r="H4" s="6" t="s">
        <v>12</v>
      </c>
      <c r="I4" s="6" t="s">
        <v>14</v>
      </c>
      <c r="J4" s="6" t="s">
        <v>15</v>
      </c>
      <c r="K4" s="15" t="s">
        <v>20</v>
      </c>
      <c r="L4" s="6" t="s">
        <v>14</v>
      </c>
      <c r="M4" s="56" t="s">
        <v>17</v>
      </c>
      <c r="N4" s="6"/>
      <c r="P4" s="16"/>
    </row>
    <row r="5" ht="12.75" customHeight="1">
      <c r="B5" s="6" t="s">
        <v>21</v>
      </c>
      <c r="C5" s="7" t="s">
        <v>85</v>
      </c>
      <c r="D5" s="8">
        <f t="shared" si="1"/>
        <v>4</v>
      </c>
      <c r="E5" s="47"/>
      <c r="F5" s="15" t="s">
        <v>42</v>
      </c>
      <c r="G5" s="6" t="s">
        <v>14</v>
      </c>
      <c r="H5" s="56" t="s">
        <v>86</v>
      </c>
      <c r="I5" s="6" t="s">
        <v>15</v>
      </c>
      <c r="J5" s="6" t="s">
        <v>14</v>
      </c>
      <c r="K5" s="6" t="s">
        <v>17</v>
      </c>
      <c r="L5" s="6" t="s">
        <v>87</v>
      </c>
      <c r="M5" s="56" t="s">
        <v>12</v>
      </c>
      <c r="N5" s="6"/>
      <c r="P5" s="20" t="s">
        <v>23</v>
      </c>
      <c r="Q5" s="20"/>
      <c r="R5" s="20" t="s">
        <v>24</v>
      </c>
      <c r="S5" s="20" t="s">
        <v>25</v>
      </c>
    </row>
    <row r="6" ht="12.75" customHeight="1">
      <c r="B6" s="6" t="s">
        <v>26</v>
      </c>
      <c r="C6" s="7" t="s">
        <v>88</v>
      </c>
      <c r="D6" s="8">
        <f t="shared" si="1"/>
        <v>4</v>
      </c>
      <c r="E6" s="47"/>
      <c r="F6" s="6" t="s">
        <v>17</v>
      </c>
      <c r="G6" s="6" t="s">
        <v>14</v>
      </c>
      <c r="H6" s="6" t="s">
        <v>14</v>
      </c>
      <c r="I6" s="15" t="s">
        <v>20</v>
      </c>
      <c r="J6" s="6" t="s">
        <v>14</v>
      </c>
      <c r="K6" s="6" t="s">
        <v>12</v>
      </c>
      <c r="L6" s="6" t="s">
        <v>15</v>
      </c>
      <c r="M6" s="56" t="s">
        <v>89</v>
      </c>
      <c r="N6" s="6"/>
      <c r="P6" s="22" t="s">
        <v>14</v>
      </c>
      <c r="Q6" s="22" t="s">
        <v>27</v>
      </c>
      <c r="R6" s="23">
        <v>5.0</v>
      </c>
      <c r="S6" s="23">
        <v>1.0</v>
      </c>
    </row>
    <row r="7" ht="12.75" customHeight="1">
      <c r="B7" s="24" t="s">
        <v>28</v>
      </c>
      <c r="C7" s="7" t="s">
        <v>90</v>
      </c>
      <c r="D7" s="18">
        <f t="shared" si="1"/>
        <v>3</v>
      </c>
      <c r="E7" s="19"/>
      <c r="F7" s="24" t="s">
        <v>12</v>
      </c>
      <c r="G7" s="24" t="s">
        <v>15</v>
      </c>
      <c r="H7" s="24" t="s">
        <v>14</v>
      </c>
      <c r="I7" s="24" t="s">
        <v>22</v>
      </c>
      <c r="J7" s="24" t="s">
        <v>22</v>
      </c>
      <c r="K7" s="24" t="s">
        <v>14</v>
      </c>
      <c r="L7" s="24" t="s">
        <v>17</v>
      </c>
      <c r="M7" s="24"/>
      <c r="N7" s="24"/>
      <c r="P7" s="22" t="s">
        <v>15</v>
      </c>
      <c r="Q7" s="22" t="s">
        <v>31</v>
      </c>
      <c r="R7" s="23">
        <v>12.0</v>
      </c>
      <c r="S7" s="23">
        <v>1.0</v>
      </c>
    </row>
    <row r="8" ht="12.75" customHeight="1">
      <c r="B8" s="24" t="s">
        <v>32</v>
      </c>
      <c r="C8" s="7" t="s">
        <v>91</v>
      </c>
      <c r="D8" s="18">
        <f t="shared" si="1"/>
        <v>1</v>
      </c>
      <c r="E8" s="30"/>
      <c r="F8" s="24" t="s">
        <v>22</v>
      </c>
      <c r="G8" s="24" t="s">
        <v>22</v>
      </c>
      <c r="H8" s="24" t="s">
        <v>17</v>
      </c>
      <c r="I8" s="24" t="s">
        <v>22</v>
      </c>
      <c r="J8" s="24" t="s">
        <v>22</v>
      </c>
      <c r="K8" s="24" t="s">
        <v>15</v>
      </c>
      <c r="L8" s="24" t="s">
        <v>12</v>
      </c>
      <c r="M8" s="24"/>
      <c r="N8" s="24"/>
      <c r="P8" s="22" t="s">
        <v>17</v>
      </c>
      <c r="Q8" s="22" t="s">
        <v>33</v>
      </c>
      <c r="R8" s="23">
        <v>12.0</v>
      </c>
      <c r="S8" s="22" t="s">
        <v>34</v>
      </c>
    </row>
    <row r="9" ht="12.75" customHeight="1">
      <c r="B9" s="25" t="s">
        <v>35</v>
      </c>
      <c r="C9" s="26"/>
      <c r="D9" s="8">
        <f t="shared" si="1"/>
        <v>0</v>
      </c>
      <c r="E9" s="48"/>
      <c r="F9" s="29">
        <f t="shared" ref="F9:N9" si="2">COUNTIF(F2:F8,$P$6)*$R$6+COUNTIF(F2:F8,$P$7)*$R$7+COUNTIF(F2:F8,$P$8)*$R$8+COUNTIF(F2:F8,$P$9)*$R$9+COUNTIF(F2:F8,$P$10)*$R$10+COUNTIF(F2:F8,$P$11)*$R$11+COUNTIF(F2:F8,$P$12)*$R$12+COUNTIF(F2:F8,$P$13)*$R$13+COUNTIF(F2:F8,$P$14)*$R$14+COUNTIF(F2:F8,$P$15)*$R$15+COUNTIF(F2:F8,$P$16)*$R$16</f>
        <v>44</v>
      </c>
      <c r="G9" s="29">
        <f t="shared" si="2"/>
        <v>39</v>
      </c>
      <c r="H9" s="29">
        <f t="shared" si="2"/>
        <v>40</v>
      </c>
      <c r="I9" s="29">
        <f t="shared" si="2"/>
        <v>34</v>
      </c>
      <c r="J9" s="29">
        <f t="shared" si="2"/>
        <v>32</v>
      </c>
      <c r="K9" s="29">
        <f t="shared" si="2"/>
        <v>44</v>
      </c>
      <c r="L9" s="29">
        <f t="shared" si="2"/>
        <v>41</v>
      </c>
      <c r="M9" s="29">
        <f t="shared" si="2"/>
        <v>22</v>
      </c>
      <c r="N9" s="29">
        <f t="shared" si="2"/>
        <v>0</v>
      </c>
      <c r="P9" s="22" t="s">
        <v>13</v>
      </c>
      <c r="Q9" s="22" t="s">
        <v>36</v>
      </c>
      <c r="R9" s="23">
        <v>6.0</v>
      </c>
      <c r="S9" s="23">
        <v>1.0</v>
      </c>
    </row>
    <row r="10" ht="12.75" customHeight="1">
      <c r="B10" s="6" t="s">
        <v>10</v>
      </c>
      <c r="C10" s="7" t="s">
        <v>94</v>
      </c>
      <c r="D10" s="8">
        <f t="shared" si="1"/>
        <v>4</v>
      </c>
      <c r="E10" s="9"/>
      <c r="F10" s="15" t="s">
        <v>20</v>
      </c>
      <c r="G10" s="6" t="s">
        <v>15</v>
      </c>
      <c r="H10" s="6" t="s">
        <v>12</v>
      </c>
      <c r="I10" s="6" t="s">
        <v>14</v>
      </c>
      <c r="J10" s="56" t="s">
        <v>17</v>
      </c>
      <c r="K10" s="6" t="s">
        <v>95</v>
      </c>
      <c r="L10" s="10" t="s">
        <v>13</v>
      </c>
      <c r="M10" s="6"/>
      <c r="N10" s="6" t="s">
        <v>14</v>
      </c>
      <c r="P10" s="22" t="s">
        <v>39</v>
      </c>
      <c r="Q10" s="22" t="s">
        <v>40</v>
      </c>
      <c r="R10" s="23">
        <v>7.0</v>
      </c>
      <c r="S10" s="23">
        <v>1.0</v>
      </c>
    </row>
    <row r="11" ht="12.75" customHeight="1">
      <c r="B11" s="6" t="s">
        <v>18</v>
      </c>
      <c r="C11" s="7" t="s">
        <v>96</v>
      </c>
      <c r="D11" s="8">
        <f t="shared" si="1"/>
        <v>4</v>
      </c>
      <c r="E11" s="9"/>
      <c r="F11" s="46" t="s">
        <v>20</v>
      </c>
      <c r="G11" s="6" t="s">
        <v>14</v>
      </c>
      <c r="H11" s="6" t="s">
        <v>14</v>
      </c>
      <c r="I11" s="15" t="s">
        <v>20</v>
      </c>
      <c r="J11" s="6" t="s">
        <v>12</v>
      </c>
      <c r="K11" s="6" t="s">
        <v>17</v>
      </c>
      <c r="L11" s="6" t="s">
        <v>15</v>
      </c>
      <c r="M11" s="6"/>
      <c r="N11" s="6" t="s">
        <v>14</v>
      </c>
      <c r="O11" s="57"/>
      <c r="P11" s="22" t="s">
        <v>42</v>
      </c>
      <c r="Q11" s="22" t="s">
        <v>43</v>
      </c>
      <c r="R11" s="23">
        <v>10.0</v>
      </c>
      <c r="S11" s="23">
        <v>1.0</v>
      </c>
    </row>
    <row r="12" ht="12.75" customHeight="1">
      <c r="B12" s="12" t="s">
        <v>19</v>
      </c>
      <c r="C12" s="7" t="s">
        <v>97</v>
      </c>
      <c r="D12" s="8">
        <f t="shared" si="1"/>
        <v>5</v>
      </c>
      <c r="E12" s="13"/>
      <c r="F12" s="6" t="s">
        <v>98</v>
      </c>
      <c r="G12" s="10" t="s">
        <v>39</v>
      </c>
      <c r="H12" s="6" t="s">
        <v>14</v>
      </c>
      <c r="I12" s="6" t="s">
        <v>15</v>
      </c>
      <c r="J12" s="6" t="s">
        <v>14</v>
      </c>
      <c r="K12" s="6" t="s">
        <v>12</v>
      </c>
      <c r="L12" s="6" t="s">
        <v>17</v>
      </c>
      <c r="M12" s="6"/>
      <c r="N12" s="6" t="s">
        <v>14</v>
      </c>
      <c r="O12" s="57"/>
      <c r="P12" s="22" t="s">
        <v>20</v>
      </c>
      <c r="Q12" s="22" t="s">
        <v>46</v>
      </c>
      <c r="R12" s="23">
        <v>5.0</v>
      </c>
      <c r="S12" s="22" t="s">
        <v>34</v>
      </c>
    </row>
    <row r="13" ht="12.75" customHeight="1">
      <c r="B13" s="12" t="s">
        <v>21</v>
      </c>
      <c r="C13" s="7" t="s">
        <v>99</v>
      </c>
      <c r="D13" s="8">
        <f t="shared" si="1"/>
        <v>5</v>
      </c>
      <c r="E13" s="21"/>
      <c r="F13" s="6" t="s">
        <v>14</v>
      </c>
      <c r="G13" s="6" t="s">
        <v>17</v>
      </c>
      <c r="H13" s="6" t="s">
        <v>15</v>
      </c>
      <c r="I13" s="6" t="s">
        <v>14</v>
      </c>
      <c r="J13" s="6" t="s">
        <v>14</v>
      </c>
      <c r="K13" s="15" t="s">
        <v>48</v>
      </c>
      <c r="L13" s="6" t="s">
        <v>12</v>
      </c>
      <c r="M13" s="6"/>
      <c r="N13" s="6" t="s">
        <v>14</v>
      </c>
      <c r="O13" s="57"/>
      <c r="P13" s="22" t="s">
        <v>48</v>
      </c>
      <c r="Q13" s="22" t="s">
        <v>49</v>
      </c>
      <c r="R13" s="23">
        <v>10.0</v>
      </c>
      <c r="S13" s="22" t="s">
        <v>34</v>
      </c>
    </row>
    <row r="14" ht="12.75" customHeight="1">
      <c r="B14" s="12" t="s">
        <v>26</v>
      </c>
      <c r="C14" s="7" t="s">
        <v>100</v>
      </c>
      <c r="D14" s="8">
        <f t="shared" si="1"/>
        <v>5</v>
      </c>
      <c r="E14" s="21"/>
      <c r="F14" s="6" t="s">
        <v>15</v>
      </c>
      <c r="G14" s="6" t="s">
        <v>12</v>
      </c>
      <c r="H14" s="6" t="s">
        <v>14</v>
      </c>
      <c r="I14" s="6" t="s">
        <v>17</v>
      </c>
      <c r="J14" s="6" t="s">
        <v>14</v>
      </c>
      <c r="K14" s="6" t="s">
        <v>14</v>
      </c>
      <c r="L14" s="56" t="s">
        <v>101</v>
      </c>
      <c r="M14" s="6"/>
      <c r="N14" s="6" t="s">
        <v>14</v>
      </c>
      <c r="O14" s="57"/>
      <c r="P14" s="31" t="s">
        <v>52</v>
      </c>
      <c r="Q14" s="31" t="s">
        <v>53</v>
      </c>
      <c r="R14" s="32">
        <v>6.33</v>
      </c>
      <c r="S14" s="32" t="s">
        <v>34</v>
      </c>
    </row>
    <row r="15" ht="12.75" customHeight="1">
      <c r="B15" s="24" t="s">
        <v>28</v>
      </c>
      <c r="C15" s="7" t="s">
        <v>102</v>
      </c>
      <c r="D15" s="18">
        <f t="shared" si="1"/>
        <v>3</v>
      </c>
      <c r="E15" s="19"/>
      <c r="F15" s="24" t="s">
        <v>14</v>
      </c>
      <c r="G15" s="24" t="s">
        <v>16</v>
      </c>
      <c r="H15" s="24" t="s">
        <v>103</v>
      </c>
      <c r="I15" s="24" t="s">
        <v>12</v>
      </c>
      <c r="J15" s="24" t="s">
        <v>14</v>
      </c>
      <c r="K15" s="24" t="s">
        <v>15</v>
      </c>
      <c r="L15" s="24" t="s">
        <v>17</v>
      </c>
      <c r="M15" s="24"/>
      <c r="N15" s="24" t="s">
        <v>22</v>
      </c>
      <c r="O15" s="57"/>
      <c r="P15" s="31" t="s">
        <v>16</v>
      </c>
      <c r="Q15" s="31" t="s">
        <v>57</v>
      </c>
      <c r="R15" s="32">
        <v>6.33</v>
      </c>
      <c r="S15" s="32" t="s">
        <v>34</v>
      </c>
    </row>
    <row r="16" ht="12.75" customHeight="1">
      <c r="B16" s="24" t="s">
        <v>32</v>
      </c>
      <c r="C16" s="7" t="s">
        <v>104</v>
      </c>
      <c r="D16" s="18">
        <f t="shared" si="1"/>
        <v>1</v>
      </c>
      <c r="E16" s="19"/>
      <c r="F16" s="24" t="s">
        <v>17</v>
      </c>
      <c r="G16" s="24" t="s">
        <v>22</v>
      </c>
      <c r="H16" s="24" t="s">
        <v>22</v>
      </c>
      <c r="I16" s="24" t="s">
        <v>22</v>
      </c>
      <c r="J16" s="24" t="s">
        <v>15</v>
      </c>
      <c r="K16" s="24" t="s">
        <v>22</v>
      </c>
      <c r="L16" s="24" t="s">
        <v>12</v>
      </c>
      <c r="M16" s="24"/>
      <c r="N16" s="24" t="s">
        <v>22</v>
      </c>
      <c r="O16" s="57"/>
      <c r="P16" s="33" t="s">
        <v>59</v>
      </c>
      <c r="Q16" s="33" t="s">
        <v>60</v>
      </c>
      <c r="R16" s="34">
        <v>0.0</v>
      </c>
      <c r="S16" s="34" t="s">
        <v>34</v>
      </c>
    </row>
    <row r="17" ht="12.75" customHeight="1">
      <c r="B17" s="25" t="s">
        <v>35</v>
      </c>
      <c r="C17" s="26"/>
      <c r="D17" s="8">
        <f t="shared" si="1"/>
        <v>0</v>
      </c>
      <c r="E17" s="27"/>
      <c r="F17" s="28">
        <f t="shared" ref="F17:N17" si="3">COUNTIF(F10:F16,$P$6)*$R$6+COUNTIF(F10:F16,$P$7)*$R$7+COUNTIF(F10:F16,$P$8)*$R$8+COUNTIF(F10:F16,$P$9)*$R$9+COUNTIF(F10:F16,$P$10)*$R$10+COUNTIF(F10:F16,$P$11)*$R$11+COUNTIF(F10:F16,$P$12)*$R$12+COUNTIF(F10:F16,$P$13)*$R$13+COUNTIF(F10:F16,$P$14)*$R$14+COUNTIF(F10:F16,$P$15)*$R$15+COUNTIF(F10:F16,$P$16)*$R$16</f>
        <v>44</v>
      </c>
      <c r="G17" s="28">
        <f t="shared" si="3"/>
        <v>42.33</v>
      </c>
      <c r="H17" s="28">
        <f t="shared" si="3"/>
        <v>27</v>
      </c>
      <c r="I17" s="28">
        <f t="shared" si="3"/>
        <v>39</v>
      </c>
      <c r="J17" s="28">
        <f t="shared" si="3"/>
        <v>44</v>
      </c>
      <c r="K17" s="28">
        <f t="shared" si="3"/>
        <v>39</v>
      </c>
      <c r="L17" s="28">
        <f t="shared" si="3"/>
        <v>42</v>
      </c>
      <c r="M17" s="28">
        <f t="shared" si="3"/>
        <v>0</v>
      </c>
      <c r="N17" s="28">
        <f t="shared" si="3"/>
        <v>25</v>
      </c>
      <c r="O17" s="57"/>
    </row>
    <row r="18" ht="12.75" customHeight="1">
      <c r="B18" s="6" t="s">
        <v>10</v>
      </c>
      <c r="C18" s="7" t="s">
        <v>105</v>
      </c>
      <c r="D18" s="8">
        <f t="shared" si="1"/>
        <v>4</v>
      </c>
      <c r="E18" s="9"/>
      <c r="F18" s="6" t="s">
        <v>12</v>
      </c>
      <c r="G18" s="6" t="s">
        <v>16</v>
      </c>
      <c r="H18" s="10" t="s">
        <v>13</v>
      </c>
      <c r="I18" s="6" t="s">
        <v>17</v>
      </c>
      <c r="J18" s="6" t="s">
        <v>106</v>
      </c>
      <c r="K18" s="6" t="s">
        <v>14</v>
      </c>
      <c r="L18" s="6" t="s">
        <v>15</v>
      </c>
      <c r="M18" s="6"/>
      <c r="N18" s="6" t="s">
        <v>14</v>
      </c>
      <c r="O18" s="57"/>
      <c r="R18" s="16"/>
      <c r="S18" s="16"/>
    </row>
    <row r="19" ht="12.75" customHeight="1">
      <c r="B19" s="12" t="s">
        <v>18</v>
      </c>
      <c r="C19" s="7" t="s">
        <v>107</v>
      </c>
      <c r="D19" s="8">
        <f t="shared" si="1"/>
        <v>4</v>
      </c>
      <c r="E19" s="9"/>
      <c r="F19" s="6" t="s">
        <v>17</v>
      </c>
      <c r="G19" s="6" t="s">
        <v>16</v>
      </c>
      <c r="H19" s="6" t="s">
        <v>15</v>
      </c>
      <c r="I19" s="6" t="s">
        <v>12</v>
      </c>
      <c r="J19" s="10" t="s">
        <v>39</v>
      </c>
      <c r="K19" s="15" t="s">
        <v>20</v>
      </c>
      <c r="L19" s="6" t="s">
        <v>14</v>
      </c>
      <c r="M19" s="6"/>
      <c r="N19" s="6" t="s">
        <v>14</v>
      </c>
      <c r="O19" s="57" t="s">
        <v>108</v>
      </c>
      <c r="R19" s="16"/>
      <c r="S19" s="16"/>
    </row>
    <row r="20" ht="12.75" customHeight="1">
      <c r="B20" s="12" t="s">
        <v>19</v>
      </c>
      <c r="C20" s="7" t="s">
        <v>109</v>
      </c>
      <c r="D20" s="8">
        <f t="shared" si="1"/>
        <v>4</v>
      </c>
      <c r="E20" s="9"/>
      <c r="F20" s="6" t="s">
        <v>12</v>
      </c>
      <c r="G20" s="6" t="s">
        <v>16</v>
      </c>
      <c r="H20" s="11" t="s">
        <v>14</v>
      </c>
      <c r="I20" s="6" t="s">
        <v>110</v>
      </c>
      <c r="J20" s="6" t="s">
        <v>17</v>
      </c>
      <c r="K20" s="6" t="s">
        <v>15</v>
      </c>
      <c r="L20" s="6" t="s">
        <v>14</v>
      </c>
      <c r="M20" s="6"/>
      <c r="N20" s="6" t="s">
        <v>14</v>
      </c>
      <c r="O20" s="57"/>
      <c r="R20" s="16"/>
      <c r="S20" s="16"/>
    </row>
    <row r="21" ht="12.75" customHeight="1">
      <c r="B21" s="12" t="s">
        <v>21</v>
      </c>
      <c r="C21" s="7" t="s">
        <v>111</v>
      </c>
      <c r="D21" s="8">
        <f t="shared" si="1"/>
        <v>4</v>
      </c>
      <c r="E21" s="9"/>
      <c r="F21" s="6" t="s">
        <v>15</v>
      </c>
      <c r="G21" s="6" t="s">
        <v>16</v>
      </c>
      <c r="H21" s="6" t="s">
        <v>14</v>
      </c>
      <c r="I21" s="15" t="s">
        <v>42</v>
      </c>
      <c r="J21" s="6" t="s">
        <v>12</v>
      </c>
      <c r="K21" s="6" t="s">
        <v>17</v>
      </c>
      <c r="L21" s="6" t="s">
        <v>112</v>
      </c>
      <c r="M21" s="6"/>
      <c r="N21" s="6" t="s">
        <v>14</v>
      </c>
      <c r="O21" s="57"/>
      <c r="R21" s="16"/>
      <c r="S21" s="16"/>
    </row>
    <row r="22" ht="12.75" customHeight="1">
      <c r="B22" s="12" t="s">
        <v>26</v>
      </c>
      <c r="C22" s="7" t="s">
        <v>113</v>
      </c>
      <c r="D22" s="8">
        <f t="shared" si="1"/>
        <v>3</v>
      </c>
      <c r="E22" s="9"/>
      <c r="F22" s="6" t="s">
        <v>17</v>
      </c>
      <c r="G22" s="6" t="s">
        <v>16</v>
      </c>
      <c r="H22" s="6" t="s">
        <v>14</v>
      </c>
      <c r="I22" s="6" t="s">
        <v>22</v>
      </c>
      <c r="J22" s="6" t="s">
        <v>15</v>
      </c>
      <c r="K22" s="6" t="s">
        <v>12</v>
      </c>
      <c r="L22" s="6" t="s">
        <v>14</v>
      </c>
      <c r="M22" s="6"/>
      <c r="N22" s="58" t="s">
        <v>22</v>
      </c>
      <c r="O22" s="57"/>
    </row>
    <row r="23" ht="12.75" customHeight="1">
      <c r="B23" s="24" t="s">
        <v>28</v>
      </c>
      <c r="C23" s="7" t="s">
        <v>114</v>
      </c>
      <c r="D23" s="18">
        <f t="shared" si="1"/>
        <v>3</v>
      </c>
      <c r="E23" s="30"/>
      <c r="F23" s="24" t="s">
        <v>12</v>
      </c>
      <c r="G23" s="17" t="s">
        <v>16</v>
      </c>
      <c r="H23" s="24" t="s">
        <v>17</v>
      </c>
      <c r="I23" s="24" t="s">
        <v>15</v>
      </c>
      <c r="J23" s="56" t="s">
        <v>22</v>
      </c>
      <c r="K23" s="24" t="s">
        <v>16</v>
      </c>
      <c r="L23" s="24" t="s">
        <v>14</v>
      </c>
      <c r="M23" s="17"/>
      <c r="N23" s="58" t="s">
        <v>14</v>
      </c>
      <c r="O23" s="57" t="s">
        <v>115</v>
      </c>
    </row>
    <row r="24" ht="12.75" customHeight="1">
      <c r="B24" s="24" t="s">
        <v>32</v>
      </c>
      <c r="C24" s="7" t="s">
        <v>116</v>
      </c>
      <c r="D24" s="18">
        <f t="shared" si="1"/>
        <v>1</v>
      </c>
      <c r="E24" s="30"/>
      <c r="F24" s="24" t="s">
        <v>22</v>
      </c>
      <c r="G24" s="24" t="s">
        <v>22</v>
      </c>
      <c r="H24" s="24" t="s">
        <v>12</v>
      </c>
      <c r="I24" s="24" t="s">
        <v>17</v>
      </c>
      <c r="J24" s="56" t="s">
        <v>22</v>
      </c>
      <c r="K24" s="24" t="s">
        <v>22</v>
      </c>
      <c r="L24" s="24" t="s">
        <v>15</v>
      </c>
      <c r="M24" s="24"/>
      <c r="N24" s="24" t="s">
        <v>22</v>
      </c>
      <c r="O24" s="57"/>
    </row>
    <row r="25" ht="12.75" customHeight="1">
      <c r="B25" s="25" t="s">
        <v>35</v>
      </c>
      <c r="C25" s="26"/>
      <c r="D25" s="8">
        <f t="shared" si="1"/>
        <v>0</v>
      </c>
      <c r="E25" s="27"/>
      <c r="F25" s="28">
        <f t="shared" ref="F25:N25" si="4">COUNTIF(F18:F24,$P$6)*$R$6+COUNTIF(F18:F24,$P$7)*$R$7+COUNTIF(F18:F24,$P$8)*$R$8+COUNTIF(F18:F24,$P$9)*$R$9+COUNTIF(F18:F24,$P$10)*$R$10+COUNTIF(F18:F24,$P$11)*$R$11+COUNTIF(F18:F24,$P$12)*$R$12+COUNTIF(F18:F24,$P$13)*$R$13+COUNTIF(F18:F24,$P$14)*$R$14+COUNTIF(F18:F24,$P$15)*$R$15+COUNTIF(F18:F24,$P$16)*$R$16</f>
        <v>36</v>
      </c>
      <c r="G25" s="28">
        <f t="shared" si="4"/>
        <v>37.98</v>
      </c>
      <c r="H25" s="28">
        <f t="shared" si="4"/>
        <v>45</v>
      </c>
      <c r="I25" s="28">
        <f t="shared" si="4"/>
        <v>46</v>
      </c>
      <c r="J25" s="28">
        <f t="shared" si="4"/>
        <v>31</v>
      </c>
      <c r="K25" s="28">
        <f t="shared" si="4"/>
        <v>40.33</v>
      </c>
      <c r="L25" s="28">
        <f t="shared" si="4"/>
        <v>44</v>
      </c>
      <c r="M25" s="28">
        <f t="shared" si="4"/>
        <v>0</v>
      </c>
      <c r="N25" s="28">
        <f t="shared" si="4"/>
        <v>25</v>
      </c>
      <c r="O25" s="57"/>
    </row>
    <row r="26" ht="12.75" customHeight="1">
      <c r="B26" s="6" t="s">
        <v>10</v>
      </c>
      <c r="C26" s="7" t="s">
        <v>117</v>
      </c>
      <c r="D26" s="8">
        <f t="shared" si="1"/>
        <v>4</v>
      </c>
      <c r="E26" s="6"/>
      <c r="F26" s="6" t="s">
        <v>15</v>
      </c>
      <c r="G26" s="6" t="s">
        <v>17</v>
      </c>
      <c r="H26" s="10" t="s">
        <v>13</v>
      </c>
      <c r="I26" s="6" t="s">
        <v>12</v>
      </c>
      <c r="J26" s="6" t="s">
        <v>22</v>
      </c>
      <c r="K26" s="6" t="s">
        <v>16</v>
      </c>
      <c r="L26" s="55" t="s">
        <v>14</v>
      </c>
      <c r="M26" s="6"/>
      <c r="N26" s="6" t="s">
        <v>14</v>
      </c>
      <c r="O26" s="57"/>
    </row>
    <row r="27" ht="12.75" customHeight="1">
      <c r="B27" s="12" t="s">
        <v>18</v>
      </c>
      <c r="C27" s="7" t="s">
        <v>118</v>
      </c>
      <c r="D27" s="8">
        <f t="shared" si="1"/>
        <v>4</v>
      </c>
      <c r="E27" s="6"/>
      <c r="F27" s="15" t="s">
        <v>20</v>
      </c>
      <c r="G27" s="6" t="s">
        <v>12</v>
      </c>
      <c r="H27" s="6" t="s">
        <v>14</v>
      </c>
      <c r="I27" s="6" t="s">
        <v>17</v>
      </c>
      <c r="J27" s="6" t="s">
        <v>15</v>
      </c>
      <c r="K27" s="6" t="s">
        <v>16</v>
      </c>
      <c r="L27" s="6" t="s">
        <v>14</v>
      </c>
      <c r="M27" s="6"/>
      <c r="N27" s="6" t="s">
        <v>14</v>
      </c>
      <c r="O27" s="57"/>
    </row>
    <row r="28" ht="12.75" customHeight="1">
      <c r="B28" s="12" t="s">
        <v>19</v>
      </c>
      <c r="C28" s="7" t="s">
        <v>119</v>
      </c>
      <c r="D28" s="8">
        <f t="shared" si="1"/>
        <v>4</v>
      </c>
      <c r="E28" s="6"/>
      <c r="F28" s="6" t="s">
        <v>15</v>
      </c>
      <c r="G28" s="10" t="s">
        <v>39</v>
      </c>
      <c r="H28" s="6" t="s">
        <v>14</v>
      </c>
      <c r="I28" s="6" t="s">
        <v>12</v>
      </c>
      <c r="J28" s="6" t="s">
        <v>17</v>
      </c>
      <c r="K28" s="6" t="s">
        <v>16</v>
      </c>
      <c r="L28" s="6" t="s">
        <v>120</v>
      </c>
      <c r="M28" s="6"/>
      <c r="N28" s="6" t="s">
        <v>14</v>
      </c>
      <c r="O28" s="57"/>
    </row>
    <row r="29" ht="12.75" customHeight="1">
      <c r="B29" s="12" t="s">
        <v>21</v>
      </c>
      <c r="C29" s="7" t="s">
        <v>121</v>
      </c>
      <c r="D29" s="8">
        <f t="shared" si="1"/>
        <v>4</v>
      </c>
      <c r="E29" s="6"/>
      <c r="F29" s="6" t="s">
        <v>17</v>
      </c>
      <c r="G29" s="6" t="s">
        <v>14</v>
      </c>
      <c r="H29" s="6" t="s">
        <v>15</v>
      </c>
      <c r="I29" s="15" t="s">
        <v>42</v>
      </c>
      <c r="J29" s="6" t="s">
        <v>12</v>
      </c>
      <c r="K29" s="6" t="s">
        <v>16</v>
      </c>
      <c r="L29" s="6" t="s">
        <v>110</v>
      </c>
      <c r="M29" s="6"/>
      <c r="N29" s="6" t="s">
        <v>14</v>
      </c>
      <c r="O29" s="57"/>
    </row>
    <row r="30" ht="12.75" customHeight="1">
      <c r="B30" s="6" t="s">
        <v>26</v>
      </c>
      <c r="C30" s="7" t="s">
        <v>122</v>
      </c>
      <c r="D30" s="8">
        <f t="shared" si="1"/>
        <v>4</v>
      </c>
      <c r="E30" s="6"/>
      <c r="F30" s="6" t="s">
        <v>12</v>
      </c>
      <c r="G30" s="6" t="s">
        <v>14</v>
      </c>
      <c r="H30" s="6" t="s">
        <v>17</v>
      </c>
      <c r="I30" s="6" t="s">
        <v>22</v>
      </c>
      <c r="J30" s="6" t="s">
        <v>14</v>
      </c>
      <c r="K30" s="6" t="s">
        <v>16</v>
      </c>
      <c r="L30" s="6" t="s">
        <v>15</v>
      </c>
      <c r="M30" s="6"/>
      <c r="N30" s="6" t="s">
        <v>14</v>
      </c>
      <c r="O30" s="57"/>
    </row>
    <row r="31" ht="12.75" customHeight="1">
      <c r="B31" s="24" t="s">
        <v>28</v>
      </c>
      <c r="C31" s="7" t="s">
        <v>123</v>
      </c>
      <c r="D31" s="18">
        <f t="shared" si="1"/>
        <v>3</v>
      </c>
      <c r="E31" s="17"/>
      <c r="F31" s="17" t="s">
        <v>16</v>
      </c>
      <c r="G31" s="17" t="s">
        <v>15</v>
      </c>
      <c r="H31" s="14" t="s">
        <v>12</v>
      </c>
      <c r="I31" s="17" t="s">
        <v>14</v>
      </c>
      <c r="J31" s="17" t="s">
        <v>14</v>
      </c>
      <c r="K31" s="17" t="s">
        <v>16</v>
      </c>
      <c r="L31" s="17" t="s">
        <v>17</v>
      </c>
      <c r="M31" s="17"/>
      <c r="N31" s="17" t="s">
        <v>22</v>
      </c>
      <c r="O31" s="57"/>
    </row>
    <row r="32" ht="12.75" customHeight="1">
      <c r="B32" s="24" t="s">
        <v>32</v>
      </c>
      <c r="C32" s="7" t="s">
        <v>124</v>
      </c>
      <c r="D32" s="18">
        <f t="shared" si="1"/>
        <v>1</v>
      </c>
      <c r="E32" s="30"/>
      <c r="F32" s="17" t="s">
        <v>22</v>
      </c>
      <c r="G32" s="17" t="s">
        <v>22</v>
      </c>
      <c r="H32" s="14" t="s">
        <v>22</v>
      </c>
      <c r="I32" s="17" t="s">
        <v>15</v>
      </c>
      <c r="J32" s="17" t="s">
        <v>17</v>
      </c>
      <c r="K32" s="17" t="s">
        <v>22</v>
      </c>
      <c r="L32" s="17" t="s">
        <v>22</v>
      </c>
      <c r="M32" s="17"/>
      <c r="N32" s="17" t="s">
        <v>22</v>
      </c>
      <c r="O32" s="57"/>
    </row>
    <row r="33" ht="12.75" customHeight="1">
      <c r="B33" s="25" t="s">
        <v>35</v>
      </c>
      <c r="C33" s="26"/>
      <c r="D33" s="8">
        <f t="shared" si="1"/>
        <v>0</v>
      </c>
      <c r="E33" s="27"/>
      <c r="F33" s="28">
        <f t="shared" ref="F33:N33" si="5">COUNTIF(F26:F32,$P$6)*$R$6+COUNTIF(F26:F32,$P$7)*$R$7+COUNTIF(F26:F32,$P$8)*$R$8+COUNTIF(F26:F32,$P$9)*$R$9+COUNTIF(F26:F32,$P$10)*$R$10+COUNTIF(F26:F32,$P$11)*$R$11+COUNTIF(F26:F32,$P$12)*$R$12+COUNTIF(F26:F32,$P$13)*$R$13+COUNTIF(F26:F32,$P$14)*$R$14+COUNTIF(F26:F32,$P$15)*$R$15+COUNTIF(F26:F32,$P$16)*$R$16</f>
        <v>47.33</v>
      </c>
      <c r="G33" s="28">
        <f t="shared" si="5"/>
        <v>41</v>
      </c>
      <c r="H33" s="28">
        <f t="shared" si="5"/>
        <v>40</v>
      </c>
      <c r="I33" s="28">
        <f t="shared" si="5"/>
        <v>39</v>
      </c>
      <c r="J33" s="28">
        <f t="shared" si="5"/>
        <v>46</v>
      </c>
      <c r="K33" s="28">
        <f t="shared" si="5"/>
        <v>37.98</v>
      </c>
      <c r="L33" s="28">
        <f t="shared" si="5"/>
        <v>34</v>
      </c>
      <c r="M33" s="28">
        <f t="shared" si="5"/>
        <v>0</v>
      </c>
      <c r="N33" s="28">
        <f t="shared" si="5"/>
        <v>25</v>
      </c>
      <c r="O33" s="57"/>
    </row>
    <row r="34" ht="12.75" customHeight="1">
      <c r="B34" s="6" t="s">
        <v>10</v>
      </c>
      <c r="C34" s="7" t="s">
        <v>125</v>
      </c>
      <c r="D34" s="8">
        <f t="shared" si="1"/>
        <v>4</v>
      </c>
      <c r="E34" s="9"/>
      <c r="F34" s="6" t="s">
        <v>16</v>
      </c>
      <c r="G34" s="6" t="s">
        <v>14</v>
      </c>
      <c r="H34" s="6" t="s">
        <v>15</v>
      </c>
      <c r="I34" s="6" t="s">
        <v>126</v>
      </c>
      <c r="J34" s="6" t="s">
        <v>12</v>
      </c>
      <c r="K34" s="6" t="s">
        <v>17</v>
      </c>
      <c r="L34" s="10" t="s">
        <v>13</v>
      </c>
      <c r="M34" s="6"/>
      <c r="N34" s="6" t="s">
        <v>14</v>
      </c>
      <c r="O34" s="57"/>
      <c r="R34" s="45"/>
      <c r="S34" s="45"/>
    </row>
    <row r="35" ht="12.75" customHeight="1">
      <c r="B35" s="6" t="s">
        <v>18</v>
      </c>
      <c r="C35" s="7" t="s">
        <v>127</v>
      </c>
      <c r="D35" s="8">
        <f t="shared" si="1"/>
        <v>4</v>
      </c>
      <c r="E35" s="9"/>
      <c r="F35" s="6" t="s">
        <v>16</v>
      </c>
      <c r="G35" s="6" t="s">
        <v>15</v>
      </c>
      <c r="H35" s="6" t="s">
        <v>14</v>
      </c>
      <c r="I35" s="15" t="s">
        <v>20</v>
      </c>
      <c r="J35" s="10" t="s">
        <v>39</v>
      </c>
      <c r="K35" s="6" t="s">
        <v>12</v>
      </c>
      <c r="L35" s="6" t="s">
        <v>17</v>
      </c>
      <c r="M35" s="6"/>
      <c r="N35" s="6" t="s">
        <v>14</v>
      </c>
      <c r="O35" s="57" t="s">
        <v>128</v>
      </c>
      <c r="R35" s="45"/>
      <c r="S35" s="45"/>
    </row>
    <row r="36" ht="12.75" customHeight="1">
      <c r="B36" s="12" t="s">
        <v>19</v>
      </c>
      <c r="C36" s="7" t="s">
        <v>129</v>
      </c>
      <c r="D36" s="8">
        <f t="shared" si="1"/>
        <v>4</v>
      </c>
      <c r="E36" s="13"/>
      <c r="F36" s="39" t="s">
        <v>16</v>
      </c>
      <c r="G36" s="6" t="s">
        <v>14</v>
      </c>
      <c r="H36" s="39" t="s">
        <v>17</v>
      </c>
      <c r="I36" s="39" t="s">
        <v>14</v>
      </c>
      <c r="J36" s="39" t="s">
        <v>15</v>
      </c>
      <c r="K36" s="6" t="s">
        <v>22</v>
      </c>
      <c r="L36" s="39" t="s">
        <v>12</v>
      </c>
      <c r="M36" s="6"/>
      <c r="N36" s="6" t="s">
        <v>14</v>
      </c>
      <c r="O36" s="57"/>
      <c r="R36" s="45"/>
      <c r="S36" s="45"/>
    </row>
    <row r="37" ht="12.75" customHeight="1">
      <c r="B37" s="6" t="s">
        <v>21</v>
      </c>
      <c r="C37" s="7" t="s">
        <v>130</v>
      </c>
      <c r="D37" s="8">
        <f t="shared" si="1"/>
        <v>5</v>
      </c>
      <c r="E37" s="21"/>
      <c r="F37" s="41" t="s">
        <v>16</v>
      </c>
      <c r="G37" s="6" t="s">
        <v>14</v>
      </c>
      <c r="H37" s="41" t="s">
        <v>12</v>
      </c>
      <c r="I37" s="40" t="s">
        <v>42</v>
      </c>
      <c r="J37" s="41" t="s">
        <v>17</v>
      </c>
      <c r="K37" s="6" t="s">
        <v>15</v>
      </c>
      <c r="L37" s="41" t="s">
        <v>14</v>
      </c>
      <c r="M37" s="6"/>
      <c r="N37" s="6" t="s">
        <v>14</v>
      </c>
      <c r="O37" s="57"/>
      <c r="R37" s="45"/>
      <c r="S37" s="45"/>
    </row>
    <row r="38" ht="12.75" customHeight="1">
      <c r="B38" s="6" t="s">
        <v>26</v>
      </c>
      <c r="C38" s="7" t="s">
        <v>131</v>
      </c>
      <c r="D38" s="8">
        <f t="shared" si="1"/>
        <v>4</v>
      </c>
      <c r="E38" s="21"/>
      <c r="F38" s="41" t="s">
        <v>16</v>
      </c>
      <c r="G38" s="6" t="s">
        <v>17</v>
      </c>
      <c r="H38" s="6" t="s">
        <v>132</v>
      </c>
      <c r="I38" s="6" t="s">
        <v>15</v>
      </c>
      <c r="J38" s="6" t="s">
        <v>12</v>
      </c>
      <c r="K38" s="6" t="s">
        <v>14</v>
      </c>
      <c r="L38" s="6" t="s">
        <v>14</v>
      </c>
      <c r="M38" s="6"/>
      <c r="N38" s="41" t="s">
        <v>14</v>
      </c>
      <c r="O38" s="57"/>
      <c r="R38" s="45"/>
      <c r="S38" s="45"/>
    </row>
    <row r="39" ht="12.75" customHeight="1">
      <c r="B39" s="24" t="s">
        <v>28</v>
      </c>
      <c r="C39" s="7" t="s">
        <v>133</v>
      </c>
      <c r="D39" s="18">
        <f t="shared" si="1"/>
        <v>3</v>
      </c>
      <c r="E39" s="19"/>
      <c r="F39" s="43" t="s">
        <v>16</v>
      </c>
      <c r="G39" s="24" t="s">
        <v>12</v>
      </c>
      <c r="H39" s="24" t="s">
        <v>14</v>
      </c>
      <c r="I39" s="24" t="s">
        <v>17</v>
      </c>
      <c r="J39" s="24" t="s">
        <v>126</v>
      </c>
      <c r="K39" s="24" t="s">
        <v>14</v>
      </c>
      <c r="L39" s="24" t="s">
        <v>15</v>
      </c>
      <c r="M39" s="43"/>
      <c r="N39" s="43" t="s">
        <v>22</v>
      </c>
      <c r="R39" s="16"/>
      <c r="S39" s="16"/>
    </row>
    <row r="40" ht="12.75" customHeight="1">
      <c r="B40" s="24" t="s">
        <v>32</v>
      </c>
      <c r="C40" s="7" t="s">
        <v>134</v>
      </c>
      <c r="D40" s="18">
        <f t="shared" si="1"/>
        <v>1</v>
      </c>
      <c r="E40" s="19"/>
      <c r="F40" s="43" t="s">
        <v>22</v>
      </c>
      <c r="G40" s="24" t="s">
        <v>22</v>
      </c>
      <c r="H40" s="24" t="s">
        <v>15</v>
      </c>
      <c r="I40" s="24" t="s">
        <v>12</v>
      </c>
      <c r="J40" s="24" t="s">
        <v>22</v>
      </c>
      <c r="K40" s="24" t="s">
        <v>17</v>
      </c>
      <c r="L40" s="24" t="s">
        <v>22</v>
      </c>
      <c r="M40" s="43"/>
      <c r="N40" s="43" t="s">
        <v>22</v>
      </c>
      <c r="R40" s="16"/>
      <c r="S40" s="16"/>
    </row>
    <row r="41" ht="12.75" customHeight="1">
      <c r="B41" s="25" t="s">
        <v>35</v>
      </c>
      <c r="C41" s="26"/>
      <c r="D41" s="8">
        <f>COUNTIF(E33:N33,$P$6)*$S$6+COUNTIF(E33:N33,$P$7)*$S$7+COUNTIF(E33:N33,$P$9)*$S$9+COUNTIF(E33:N33,$P$10)*$S$10+COUNTIF(E33:N33,$P$11)*$S$11</f>
        <v>0</v>
      </c>
      <c r="E41" s="27"/>
      <c r="F41" s="28">
        <f t="shared" ref="F41:N41" si="6">COUNTIF(F34:F40,$P$6)*$R$6+COUNTIF(F34:F40,$P$7)*$R$7+COUNTIF(F34:F40,$P$8)*$R$8+COUNTIF(F34:F40,$P$9)*$R$9+COUNTIF(F34:F40,$P$10)*$R$10+COUNTIF(F34:F40,$P$11)*$R$11+COUNTIF(F34:F40,$P$12)*$R$12+COUNTIF(F34:F40,$P$13)*$R$13+COUNTIF(F34:F40,$P$14)*$R$14+COUNTIF(F34:F40,$P$15)*$R$15+COUNTIF(F34:F40,$P$16)*$R$16</f>
        <v>37.98</v>
      </c>
      <c r="G41" s="28">
        <f t="shared" si="6"/>
        <v>39</v>
      </c>
      <c r="H41" s="28">
        <f t="shared" si="6"/>
        <v>46</v>
      </c>
      <c r="I41" s="28">
        <f t="shared" si="6"/>
        <v>44</v>
      </c>
      <c r="J41" s="28">
        <f t="shared" si="6"/>
        <v>31</v>
      </c>
      <c r="K41" s="28">
        <f t="shared" si="6"/>
        <v>46</v>
      </c>
      <c r="L41" s="28">
        <f t="shared" si="6"/>
        <v>40</v>
      </c>
      <c r="M41" s="49">
        <f t="shared" si="6"/>
        <v>0</v>
      </c>
      <c r="N41" s="28">
        <f t="shared" si="6"/>
        <v>25</v>
      </c>
      <c r="R41" s="16"/>
      <c r="S41" s="16"/>
    </row>
    <row r="42" ht="12.75" customHeight="1">
      <c r="B42" s="50" t="s">
        <v>92</v>
      </c>
      <c r="C42" s="26"/>
      <c r="D42" s="51" t="s">
        <v>135</v>
      </c>
      <c r="E42" s="26"/>
      <c r="F42" s="29">
        <f t="shared" ref="F42:N42" si="7">(F9+F17+F25+F33+F41)</f>
        <v>209.31</v>
      </c>
      <c r="G42" s="29">
        <f t="shared" si="7"/>
        <v>199.31</v>
      </c>
      <c r="H42" s="29">
        <f t="shared" si="7"/>
        <v>198</v>
      </c>
      <c r="I42" s="29">
        <f t="shared" si="7"/>
        <v>202</v>
      </c>
      <c r="J42" s="29">
        <f t="shared" si="7"/>
        <v>184</v>
      </c>
      <c r="K42" s="29">
        <f t="shared" si="7"/>
        <v>207.31</v>
      </c>
      <c r="L42" s="29">
        <f t="shared" si="7"/>
        <v>201</v>
      </c>
      <c r="M42" s="29">
        <f t="shared" si="7"/>
        <v>22</v>
      </c>
      <c r="N42" s="29">
        <f t="shared" si="7"/>
        <v>100</v>
      </c>
      <c r="R42" s="16"/>
      <c r="S42" s="16"/>
    </row>
    <row r="43" ht="12.75" customHeight="1">
      <c r="F43" s="54" t="s">
        <v>1</v>
      </c>
      <c r="G43" s="54" t="s">
        <v>2</v>
      </c>
      <c r="H43" s="54" t="s">
        <v>3</v>
      </c>
      <c r="I43" s="54" t="s">
        <v>4</v>
      </c>
      <c r="J43" s="54" t="s">
        <v>5</v>
      </c>
      <c r="K43" s="54" t="s">
        <v>6</v>
      </c>
      <c r="L43" s="54" t="s">
        <v>7</v>
      </c>
      <c r="M43" s="54" t="s">
        <v>8</v>
      </c>
      <c r="N43" s="54" t="s">
        <v>9</v>
      </c>
      <c r="R43" s="16"/>
      <c r="S43" s="16"/>
    </row>
    <row r="44" ht="12.75" customHeight="1"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ht="12.75" customHeight="1">
      <c r="E45" s="11" t="s">
        <v>15</v>
      </c>
      <c r="F45" s="11">
        <v>4.0</v>
      </c>
      <c r="G45" s="11">
        <v>3.0</v>
      </c>
      <c r="H45" s="11">
        <v>4.0</v>
      </c>
      <c r="I45" s="11">
        <v>4.0</v>
      </c>
      <c r="J45" s="11">
        <v>4.0</v>
      </c>
      <c r="K45" s="11">
        <v>4.0</v>
      </c>
      <c r="L45" s="11">
        <v>5.0</v>
      </c>
      <c r="M45" s="11"/>
      <c r="N45" s="11"/>
    </row>
    <row r="46" ht="12.75" customHeight="1">
      <c r="E46" s="11" t="s">
        <v>17</v>
      </c>
      <c r="F46" s="11">
        <v>4.0</v>
      </c>
      <c r="G46" s="11">
        <v>3.0</v>
      </c>
      <c r="H46" s="11">
        <v>4.0</v>
      </c>
      <c r="I46" s="11">
        <v>5.0</v>
      </c>
      <c r="J46" s="11">
        <v>5.0</v>
      </c>
      <c r="K46" s="11">
        <v>3.0</v>
      </c>
      <c r="L46" s="11">
        <v>4.0</v>
      </c>
      <c r="M46" s="11"/>
      <c r="N46" s="11"/>
    </row>
    <row r="47" ht="12.75" customHeight="1"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ht="12.75" customHeight="1"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B9:C9"/>
    <mergeCell ref="B17:C17"/>
    <mergeCell ref="B25:C25"/>
    <mergeCell ref="B33:C33"/>
    <mergeCell ref="B41:C41"/>
    <mergeCell ref="B42:C42"/>
    <mergeCell ref="D42:E42"/>
  </mergeCells>
  <printOptions/>
  <pageMargins bottom="0.0" footer="0.0" header="0.0" left="0.0" right="0.0" top="0.0"/>
  <pageSetup paperSize="9" orientation="portrait"/>
  <headerFooter>
    <oddHeader>&amp;Cffffff&amp;A</oddHeader>
    <oddFooter>&amp;CffffffPagina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8" width="10.0"/>
    <col customWidth="1" min="19" max="26" width="6.5"/>
  </cols>
  <sheetData>
    <row r="1" ht="12.75" customHeight="1">
      <c r="D1" s="1" t="s">
        <v>0</v>
      </c>
      <c r="E1" s="2"/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9</v>
      </c>
      <c r="O1" s="5"/>
      <c r="P1" s="5"/>
      <c r="Q1" s="5"/>
      <c r="R1" s="5"/>
    </row>
    <row r="2" ht="12.75" customHeight="1">
      <c r="B2" s="6" t="s">
        <v>10</v>
      </c>
      <c r="C2" s="7" t="s">
        <v>125</v>
      </c>
      <c r="D2" s="8">
        <f t="shared" ref="D2:D49" si="1">COUNTIF(E2:M2,$O$6)*$R$6+COUNTIF(E2:M2,$O$7)*$R$7+COUNTIF(E2:M2,$O$9)*$R$9+COUNTIF(E2:M2,$O$10)*$R$10+COUNTIF(E2:M2,$O$11)*$R$11</f>
        <v>4</v>
      </c>
      <c r="E2" s="9"/>
      <c r="F2" s="6" t="s">
        <v>16</v>
      </c>
      <c r="G2" s="6" t="s">
        <v>14</v>
      </c>
      <c r="H2" s="6" t="s">
        <v>15</v>
      </c>
      <c r="I2" s="6" t="s">
        <v>126</v>
      </c>
      <c r="J2" s="6" t="s">
        <v>12</v>
      </c>
      <c r="K2" s="6" t="s">
        <v>17</v>
      </c>
      <c r="L2" s="10" t="s">
        <v>13</v>
      </c>
      <c r="M2" s="6" t="s">
        <v>14</v>
      </c>
    </row>
    <row r="3" ht="12.75" customHeight="1">
      <c r="B3" s="6" t="s">
        <v>18</v>
      </c>
      <c r="C3" s="7" t="s">
        <v>127</v>
      </c>
      <c r="D3" s="8">
        <f t="shared" si="1"/>
        <v>4</v>
      </c>
      <c r="E3" s="9"/>
      <c r="F3" s="6" t="s">
        <v>16</v>
      </c>
      <c r="G3" s="6" t="s">
        <v>15</v>
      </c>
      <c r="H3" s="6" t="s">
        <v>14</v>
      </c>
      <c r="I3" s="15" t="s">
        <v>20</v>
      </c>
      <c r="J3" s="10" t="s">
        <v>39</v>
      </c>
      <c r="K3" s="6" t="s">
        <v>12</v>
      </c>
      <c r="L3" s="6" t="s">
        <v>17</v>
      </c>
      <c r="M3" s="6" t="s">
        <v>14</v>
      </c>
    </row>
    <row r="4" ht="12.75" customHeight="1">
      <c r="B4" s="12" t="s">
        <v>19</v>
      </c>
      <c r="C4" s="7" t="s">
        <v>129</v>
      </c>
      <c r="D4" s="8">
        <f t="shared" si="1"/>
        <v>5</v>
      </c>
      <c r="E4" s="13"/>
      <c r="F4" s="39" t="s">
        <v>16</v>
      </c>
      <c r="G4" s="6" t="s">
        <v>14</v>
      </c>
      <c r="H4" s="39" t="s">
        <v>17</v>
      </c>
      <c r="I4" s="39" t="s">
        <v>14</v>
      </c>
      <c r="J4" s="39" t="s">
        <v>15</v>
      </c>
      <c r="K4" s="6" t="s">
        <v>14</v>
      </c>
      <c r="L4" s="39" t="s">
        <v>12</v>
      </c>
      <c r="M4" s="6" t="s">
        <v>14</v>
      </c>
      <c r="O4" s="16"/>
    </row>
    <row r="5" ht="12.75" customHeight="1">
      <c r="B5" s="12" t="s">
        <v>21</v>
      </c>
      <c r="C5" s="7" t="s">
        <v>130</v>
      </c>
      <c r="D5" s="8">
        <f t="shared" si="1"/>
        <v>5</v>
      </c>
      <c r="E5" s="21"/>
      <c r="F5" s="41" t="s">
        <v>16</v>
      </c>
      <c r="G5" s="6" t="s">
        <v>14</v>
      </c>
      <c r="H5" s="41" t="s">
        <v>12</v>
      </c>
      <c r="I5" s="40" t="s">
        <v>42</v>
      </c>
      <c r="J5" s="41" t="s">
        <v>17</v>
      </c>
      <c r="K5" s="6" t="s">
        <v>15</v>
      </c>
      <c r="L5" s="41" t="s">
        <v>14</v>
      </c>
      <c r="M5" s="6" t="s">
        <v>14</v>
      </c>
      <c r="O5" s="20" t="s">
        <v>23</v>
      </c>
      <c r="P5" s="20"/>
      <c r="Q5" s="20" t="s">
        <v>24</v>
      </c>
      <c r="R5" s="20" t="s">
        <v>25</v>
      </c>
    </row>
    <row r="6" ht="12.75" customHeight="1">
      <c r="B6" s="12" t="s">
        <v>26</v>
      </c>
      <c r="C6" s="7" t="s">
        <v>131</v>
      </c>
      <c r="D6" s="8">
        <f t="shared" si="1"/>
        <v>4</v>
      </c>
      <c r="E6" s="21"/>
      <c r="F6" s="41" t="s">
        <v>16</v>
      </c>
      <c r="G6" s="6" t="s">
        <v>17</v>
      </c>
      <c r="H6" s="6" t="s">
        <v>132</v>
      </c>
      <c r="I6" s="6" t="s">
        <v>15</v>
      </c>
      <c r="J6" s="6" t="s">
        <v>12</v>
      </c>
      <c r="K6" s="6" t="s">
        <v>14</v>
      </c>
      <c r="L6" s="6" t="s">
        <v>14</v>
      </c>
      <c r="M6" s="6" t="s">
        <v>14</v>
      </c>
      <c r="O6" s="22" t="s">
        <v>14</v>
      </c>
      <c r="P6" s="22" t="s">
        <v>27</v>
      </c>
      <c r="Q6" s="23">
        <v>5.0</v>
      </c>
      <c r="R6" s="23">
        <v>1.0</v>
      </c>
    </row>
    <row r="7" ht="12.75" customHeight="1">
      <c r="B7" s="24" t="s">
        <v>28</v>
      </c>
      <c r="C7" s="7" t="s">
        <v>133</v>
      </c>
      <c r="D7" s="18">
        <f t="shared" si="1"/>
        <v>3</v>
      </c>
      <c r="E7" s="19"/>
      <c r="F7" s="43" t="s">
        <v>16</v>
      </c>
      <c r="G7" s="24" t="s">
        <v>12</v>
      </c>
      <c r="H7" s="24" t="s">
        <v>14</v>
      </c>
      <c r="I7" s="24" t="s">
        <v>17</v>
      </c>
      <c r="J7" s="24" t="s">
        <v>126</v>
      </c>
      <c r="K7" s="24" t="s">
        <v>14</v>
      </c>
      <c r="L7" s="24" t="s">
        <v>15</v>
      </c>
      <c r="M7" s="43" t="s">
        <v>22</v>
      </c>
      <c r="O7" s="22" t="s">
        <v>15</v>
      </c>
      <c r="P7" s="22" t="s">
        <v>31</v>
      </c>
      <c r="Q7" s="23">
        <v>12.0</v>
      </c>
      <c r="R7" s="23">
        <v>1.0</v>
      </c>
    </row>
    <row r="8" ht="12.75" customHeight="1">
      <c r="B8" s="24" t="s">
        <v>32</v>
      </c>
      <c r="C8" s="7" t="s">
        <v>134</v>
      </c>
      <c r="D8" s="18">
        <f t="shared" si="1"/>
        <v>1</v>
      </c>
      <c r="E8" s="19"/>
      <c r="F8" s="43" t="s">
        <v>22</v>
      </c>
      <c r="G8" s="24" t="s">
        <v>22</v>
      </c>
      <c r="H8" s="24" t="s">
        <v>15</v>
      </c>
      <c r="I8" s="24" t="s">
        <v>12</v>
      </c>
      <c r="J8" s="24" t="s">
        <v>22</v>
      </c>
      <c r="K8" s="24" t="s">
        <v>17</v>
      </c>
      <c r="L8" s="24" t="s">
        <v>22</v>
      </c>
      <c r="M8" s="43" t="s">
        <v>22</v>
      </c>
      <c r="O8" s="22" t="s">
        <v>17</v>
      </c>
      <c r="P8" s="22" t="s">
        <v>33</v>
      </c>
      <c r="Q8" s="23">
        <v>12.0</v>
      </c>
      <c r="R8" s="22" t="s">
        <v>34</v>
      </c>
    </row>
    <row r="9" ht="12.75" customHeight="1">
      <c r="B9" s="25" t="s">
        <v>35</v>
      </c>
      <c r="C9" s="26"/>
      <c r="D9" s="8">
        <f t="shared" si="1"/>
        <v>0</v>
      </c>
      <c r="E9" s="27"/>
      <c r="F9" s="28">
        <f t="shared" ref="F9:M9" si="2">COUNTIF(F2:F8,$O$6)*$Q$6+COUNTIF(F2:F8,$O$7)*$Q$7+COUNTIF(F2:F8,$O$8)*$Q$8+COUNTIF(F2:F8,$O$9)*$Q$9+COUNTIF(F2:F8,$O$10)*$Q$10+COUNTIF(F2:F8,$O$11)*$Q$11+COUNTIF(F2:F8,$O$12)*$Q$12+COUNTIF(F2:F8,$O$13)*$Q$13+COUNTIF(F2:F8,$O$14)*$Q$14+COUNTIF(F2:F8,$O$15)*$Q$15+COUNTIF(F2:F8,$O$16)*$Q$16</f>
        <v>37.98</v>
      </c>
      <c r="G9" s="28">
        <f t="shared" si="2"/>
        <v>39</v>
      </c>
      <c r="H9" s="28">
        <f t="shared" si="2"/>
        <v>46</v>
      </c>
      <c r="I9" s="28">
        <f t="shared" si="2"/>
        <v>44</v>
      </c>
      <c r="J9" s="28">
        <f t="shared" si="2"/>
        <v>31</v>
      </c>
      <c r="K9" s="28">
        <f t="shared" si="2"/>
        <v>51</v>
      </c>
      <c r="L9" s="28">
        <f t="shared" si="2"/>
        <v>40</v>
      </c>
      <c r="M9" s="28">
        <f t="shared" si="2"/>
        <v>25</v>
      </c>
      <c r="O9" s="22" t="s">
        <v>13</v>
      </c>
      <c r="P9" s="22" t="s">
        <v>36</v>
      </c>
      <c r="Q9" s="23">
        <v>6.0</v>
      </c>
      <c r="R9" s="23">
        <v>1.0</v>
      </c>
    </row>
    <row r="10" ht="12.75" customHeight="1">
      <c r="B10" s="6" t="s">
        <v>10</v>
      </c>
      <c r="C10" s="7" t="s">
        <v>136</v>
      </c>
      <c r="D10" s="8">
        <f t="shared" si="1"/>
        <v>5</v>
      </c>
      <c r="E10" s="9"/>
      <c r="F10" s="6" t="s">
        <v>17</v>
      </c>
      <c r="G10" s="6" t="s">
        <v>15</v>
      </c>
      <c r="H10" s="6" t="s">
        <v>137</v>
      </c>
      <c r="I10" s="6" t="s">
        <v>14</v>
      </c>
      <c r="J10" s="6" t="s">
        <v>14</v>
      </c>
      <c r="K10" s="6" t="s">
        <v>12</v>
      </c>
      <c r="L10" s="10" t="s">
        <v>13</v>
      </c>
      <c r="M10" s="6" t="s">
        <v>14</v>
      </c>
      <c r="O10" s="22" t="s">
        <v>39</v>
      </c>
      <c r="P10" s="22" t="s">
        <v>40</v>
      </c>
      <c r="Q10" s="23">
        <v>7.0</v>
      </c>
      <c r="R10" s="23">
        <v>1.0</v>
      </c>
    </row>
    <row r="11" ht="12.75" customHeight="1">
      <c r="B11" s="12" t="s">
        <v>18</v>
      </c>
      <c r="C11" s="7" t="s">
        <v>138</v>
      </c>
      <c r="D11" s="8">
        <f t="shared" si="1"/>
        <v>5</v>
      </c>
      <c r="E11" s="9"/>
      <c r="F11" s="6" t="s">
        <v>12</v>
      </c>
      <c r="G11" s="6" t="s">
        <v>17</v>
      </c>
      <c r="H11" s="6" t="s">
        <v>14</v>
      </c>
      <c r="I11" s="6" t="s">
        <v>15</v>
      </c>
      <c r="J11" s="6" t="s">
        <v>14</v>
      </c>
      <c r="K11" s="15" t="s">
        <v>20</v>
      </c>
      <c r="L11" s="14" t="s">
        <v>14</v>
      </c>
      <c r="M11" s="6" t="s">
        <v>14</v>
      </c>
      <c r="N11" s="57"/>
      <c r="O11" s="22" t="s">
        <v>42</v>
      </c>
      <c r="P11" s="22" t="s">
        <v>43</v>
      </c>
      <c r="Q11" s="23">
        <v>10.0</v>
      </c>
      <c r="R11" s="23">
        <v>1.0</v>
      </c>
    </row>
    <row r="12" ht="12.75" customHeight="1">
      <c r="B12" s="12" t="s">
        <v>19</v>
      </c>
      <c r="C12" s="7" t="s">
        <v>139</v>
      </c>
      <c r="D12" s="8">
        <f t="shared" si="1"/>
        <v>5</v>
      </c>
      <c r="E12" s="9"/>
      <c r="F12" s="6" t="s">
        <v>14</v>
      </c>
      <c r="G12" s="6" t="s">
        <v>12</v>
      </c>
      <c r="H12" s="59" t="s">
        <v>14</v>
      </c>
      <c r="I12" s="6" t="s">
        <v>17</v>
      </c>
      <c r="J12" s="10" t="s">
        <v>39</v>
      </c>
      <c r="K12" s="6" t="s">
        <v>140</v>
      </c>
      <c r="L12" s="6" t="s">
        <v>15</v>
      </c>
      <c r="M12" s="6" t="s">
        <v>14</v>
      </c>
      <c r="N12" s="57"/>
      <c r="O12" s="22" t="s">
        <v>20</v>
      </c>
      <c r="P12" s="22" t="s">
        <v>46</v>
      </c>
      <c r="Q12" s="23">
        <v>5.0</v>
      </c>
      <c r="R12" s="22" t="s">
        <v>34</v>
      </c>
    </row>
    <row r="13" ht="12.75" customHeight="1">
      <c r="B13" s="12" t="s">
        <v>21</v>
      </c>
      <c r="C13" s="7" t="s">
        <v>141</v>
      </c>
      <c r="D13" s="8">
        <f t="shared" si="1"/>
        <v>5</v>
      </c>
      <c r="E13" s="9"/>
      <c r="F13" s="6" t="s">
        <v>14</v>
      </c>
      <c r="G13" s="6" t="s">
        <v>142</v>
      </c>
      <c r="H13" s="6" t="s">
        <v>15</v>
      </c>
      <c r="I13" s="6" t="s">
        <v>12</v>
      </c>
      <c r="J13" s="6" t="s">
        <v>14</v>
      </c>
      <c r="K13" s="15" t="s">
        <v>42</v>
      </c>
      <c r="L13" s="6" t="s">
        <v>17</v>
      </c>
      <c r="M13" s="6" t="s">
        <v>14</v>
      </c>
      <c r="N13" s="57"/>
      <c r="O13" s="22" t="s">
        <v>48</v>
      </c>
      <c r="P13" s="22" t="s">
        <v>49</v>
      </c>
      <c r="Q13" s="23">
        <v>10.0</v>
      </c>
      <c r="R13" s="22" t="s">
        <v>34</v>
      </c>
    </row>
    <row r="14" ht="12.75" customHeight="1">
      <c r="B14" s="12" t="s">
        <v>26</v>
      </c>
      <c r="C14" s="7" t="s">
        <v>143</v>
      </c>
      <c r="D14" s="8">
        <f t="shared" si="1"/>
        <v>5</v>
      </c>
      <c r="E14" s="9"/>
      <c r="F14" s="6" t="s">
        <v>14</v>
      </c>
      <c r="G14" s="14" t="s">
        <v>52</v>
      </c>
      <c r="H14" s="6" t="s">
        <v>17</v>
      </c>
      <c r="I14" s="6" t="s">
        <v>14</v>
      </c>
      <c r="J14" s="6" t="s">
        <v>14</v>
      </c>
      <c r="K14" s="6" t="s">
        <v>15</v>
      </c>
      <c r="L14" s="6" t="s">
        <v>12</v>
      </c>
      <c r="M14" s="6" t="s">
        <v>14</v>
      </c>
      <c r="N14" s="57"/>
      <c r="O14" s="31" t="s">
        <v>52</v>
      </c>
      <c r="P14" s="31" t="s">
        <v>53</v>
      </c>
      <c r="Q14" s="32">
        <v>6.33</v>
      </c>
      <c r="R14" s="32" t="s">
        <v>34</v>
      </c>
    </row>
    <row r="15" ht="12.75" customHeight="1">
      <c r="B15" s="24" t="s">
        <v>28</v>
      </c>
      <c r="C15" s="7" t="s">
        <v>144</v>
      </c>
      <c r="D15" s="18">
        <f t="shared" si="1"/>
        <v>3</v>
      </c>
      <c r="E15" s="30"/>
      <c r="F15" s="24" t="s">
        <v>14</v>
      </c>
      <c r="G15" s="24" t="s">
        <v>14</v>
      </c>
      <c r="H15" s="24" t="s">
        <v>12</v>
      </c>
      <c r="I15" s="24" t="s">
        <v>145</v>
      </c>
      <c r="J15" s="17" t="s">
        <v>15</v>
      </c>
      <c r="K15" s="24" t="s">
        <v>17</v>
      </c>
      <c r="L15" s="24" t="s">
        <v>16</v>
      </c>
      <c r="M15" s="17" t="s">
        <v>22</v>
      </c>
      <c r="N15" s="57"/>
      <c r="O15" s="31" t="s">
        <v>16</v>
      </c>
      <c r="P15" s="31" t="s">
        <v>57</v>
      </c>
      <c r="Q15" s="32">
        <v>6.33</v>
      </c>
      <c r="R15" s="32" t="s">
        <v>34</v>
      </c>
    </row>
    <row r="16" ht="12.75" customHeight="1">
      <c r="B16" s="24" t="s">
        <v>32</v>
      </c>
      <c r="C16" s="7" t="s">
        <v>146</v>
      </c>
      <c r="D16" s="18">
        <f t="shared" si="1"/>
        <v>1</v>
      </c>
      <c r="E16" s="30"/>
      <c r="F16" s="24" t="s">
        <v>15</v>
      </c>
      <c r="G16" s="24" t="s">
        <v>17</v>
      </c>
      <c r="H16" s="24" t="s">
        <v>22</v>
      </c>
      <c r="I16" s="24" t="s">
        <v>22</v>
      </c>
      <c r="J16" s="17" t="s">
        <v>22</v>
      </c>
      <c r="K16" s="24" t="s">
        <v>12</v>
      </c>
      <c r="L16" s="24" t="s">
        <v>22</v>
      </c>
      <c r="M16" s="24" t="s">
        <v>22</v>
      </c>
      <c r="N16" s="57"/>
      <c r="O16" s="33" t="s">
        <v>59</v>
      </c>
      <c r="P16" s="33" t="s">
        <v>60</v>
      </c>
      <c r="Q16" s="34">
        <v>0.0</v>
      </c>
      <c r="R16" s="34" t="s">
        <v>34</v>
      </c>
    </row>
    <row r="17" ht="12.75" customHeight="1">
      <c r="B17" s="25" t="s">
        <v>35</v>
      </c>
      <c r="C17" s="26"/>
      <c r="D17" s="8">
        <f t="shared" si="1"/>
        <v>0</v>
      </c>
      <c r="E17" s="27"/>
      <c r="F17" s="28">
        <f t="shared" ref="F17:M17" si="3">COUNTIF(F10:F16,$O$6)*$Q$6+COUNTIF(F10:F16,$O$7)*$Q$7+COUNTIF(F10:F16,$O$8)*$Q$8+COUNTIF(F10:F16,$O$9)*$Q$9+COUNTIF(F10:F16,$O$10)*$Q$10+COUNTIF(F10:F16,$O$11)*$Q$11+COUNTIF(F10:F16,$O$12)*$Q$12+COUNTIF(F10:F16,$O$13)*$Q$13+COUNTIF(F10:F16,$O$14)*$Q$14+COUNTIF(F10:F16,$O$15)*$Q$15+COUNTIF(F10:F16,$O$16)*$Q$16</f>
        <v>44</v>
      </c>
      <c r="G17" s="28">
        <f t="shared" si="3"/>
        <v>47.33</v>
      </c>
      <c r="H17" s="28">
        <f t="shared" si="3"/>
        <v>34</v>
      </c>
      <c r="I17" s="28">
        <f t="shared" si="3"/>
        <v>34</v>
      </c>
      <c r="J17" s="28">
        <f t="shared" si="3"/>
        <v>39</v>
      </c>
      <c r="K17" s="28">
        <f t="shared" si="3"/>
        <v>39</v>
      </c>
      <c r="L17" s="28">
        <f t="shared" si="3"/>
        <v>41.33</v>
      </c>
      <c r="M17" s="28">
        <f t="shared" si="3"/>
        <v>25</v>
      </c>
      <c r="N17" s="57"/>
    </row>
    <row r="18" ht="12.75" customHeight="1">
      <c r="B18" s="6" t="s">
        <v>10</v>
      </c>
      <c r="C18" s="7" t="s">
        <v>147</v>
      </c>
      <c r="D18" s="8">
        <f t="shared" si="1"/>
        <v>4</v>
      </c>
      <c r="E18" s="6"/>
      <c r="F18" s="6" t="s">
        <v>148</v>
      </c>
      <c r="G18" s="6" t="s">
        <v>12</v>
      </c>
      <c r="H18" s="10" t="s">
        <v>13</v>
      </c>
      <c r="I18" s="6" t="s">
        <v>15</v>
      </c>
      <c r="J18" s="6" t="s">
        <v>17</v>
      </c>
      <c r="K18" s="6" t="s">
        <v>14</v>
      </c>
      <c r="L18" s="6" t="s">
        <v>16</v>
      </c>
      <c r="M18" s="6" t="s">
        <v>14</v>
      </c>
      <c r="N18" s="57"/>
      <c r="Q18" s="16"/>
      <c r="R18" s="16"/>
    </row>
    <row r="19" ht="12.75" customHeight="1">
      <c r="B19" s="12" t="s">
        <v>18</v>
      </c>
      <c r="C19" s="7" t="s">
        <v>149</v>
      </c>
      <c r="D19" s="8">
        <f t="shared" si="1"/>
        <v>4</v>
      </c>
      <c r="E19" s="6"/>
      <c r="F19" s="15" t="s">
        <v>20</v>
      </c>
      <c r="G19" s="6" t="s">
        <v>14</v>
      </c>
      <c r="H19" s="6" t="s">
        <v>15</v>
      </c>
      <c r="I19" s="6" t="s">
        <v>17</v>
      </c>
      <c r="J19" s="6" t="s">
        <v>12</v>
      </c>
      <c r="K19" s="6" t="s">
        <v>14</v>
      </c>
      <c r="L19" s="6" t="s">
        <v>16</v>
      </c>
      <c r="M19" s="6" t="s">
        <v>14</v>
      </c>
      <c r="N19" s="57"/>
      <c r="Q19" s="16"/>
      <c r="R19" s="16"/>
    </row>
    <row r="20" ht="12.75" customHeight="1">
      <c r="B20" s="12" t="s">
        <v>19</v>
      </c>
      <c r="C20" s="7" t="s">
        <v>150</v>
      </c>
      <c r="D20" s="8">
        <f t="shared" si="1"/>
        <v>4</v>
      </c>
      <c r="E20" s="6"/>
      <c r="F20" s="6" t="s">
        <v>15</v>
      </c>
      <c r="G20" s="6" t="s">
        <v>17</v>
      </c>
      <c r="H20" s="6" t="s">
        <v>14</v>
      </c>
      <c r="I20" s="6" t="s">
        <v>12</v>
      </c>
      <c r="J20" s="10" t="s">
        <v>39</v>
      </c>
      <c r="K20" s="6" t="s">
        <v>151</v>
      </c>
      <c r="L20" s="6" t="s">
        <v>16</v>
      </c>
      <c r="M20" s="6" t="s">
        <v>14</v>
      </c>
      <c r="N20" s="57"/>
      <c r="Q20" s="16"/>
      <c r="R20" s="16"/>
    </row>
    <row r="21" ht="12.75" customHeight="1">
      <c r="B21" s="12" t="s">
        <v>21</v>
      </c>
      <c r="C21" s="7" t="s">
        <v>152</v>
      </c>
      <c r="D21" s="8">
        <f t="shared" si="1"/>
        <v>4</v>
      </c>
      <c r="E21" s="6"/>
      <c r="F21" s="14" t="s">
        <v>52</v>
      </c>
      <c r="G21" s="6" t="s">
        <v>12</v>
      </c>
      <c r="H21" s="6" t="s">
        <v>17</v>
      </c>
      <c r="I21" s="15" t="s">
        <v>42</v>
      </c>
      <c r="J21" s="6" t="s">
        <v>14</v>
      </c>
      <c r="K21" s="6" t="s">
        <v>15</v>
      </c>
      <c r="L21" s="6" t="s">
        <v>16</v>
      </c>
      <c r="M21" s="6" t="s">
        <v>14</v>
      </c>
      <c r="N21" s="57"/>
      <c r="Q21" s="16"/>
      <c r="R21" s="16"/>
    </row>
    <row r="22" ht="12.75" customHeight="1">
      <c r="B22" s="6" t="s">
        <v>26</v>
      </c>
      <c r="C22" s="7" t="s">
        <v>153</v>
      </c>
      <c r="D22" s="60">
        <f t="shared" si="1"/>
        <v>3</v>
      </c>
      <c r="E22" s="6"/>
      <c r="F22" s="6" t="s">
        <v>17</v>
      </c>
      <c r="G22" s="14" t="s">
        <v>52</v>
      </c>
      <c r="H22" s="6" t="s">
        <v>12</v>
      </c>
      <c r="I22" s="6" t="s">
        <v>14</v>
      </c>
      <c r="J22" s="6" t="s">
        <v>15</v>
      </c>
      <c r="K22" s="6" t="s">
        <v>14</v>
      </c>
      <c r="L22" s="6" t="s">
        <v>16</v>
      </c>
      <c r="M22" s="14" t="s">
        <v>52</v>
      </c>
      <c r="N22" s="57"/>
    </row>
    <row r="23" ht="12.75" customHeight="1">
      <c r="B23" s="24" t="s">
        <v>28</v>
      </c>
      <c r="C23" s="7" t="s">
        <v>154</v>
      </c>
      <c r="D23" s="18">
        <f t="shared" si="1"/>
        <v>3</v>
      </c>
      <c r="E23" s="17"/>
      <c r="F23" s="17" t="s">
        <v>12</v>
      </c>
      <c r="G23" s="14" t="s">
        <v>14</v>
      </c>
      <c r="H23" s="17" t="s">
        <v>16</v>
      </c>
      <c r="I23" s="17" t="s">
        <v>15</v>
      </c>
      <c r="J23" s="17" t="s">
        <v>17</v>
      </c>
      <c r="K23" s="17" t="s">
        <v>14</v>
      </c>
      <c r="L23" s="17" t="s">
        <v>16</v>
      </c>
      <c r="M23" s="17" t="s">
        <v>22</v>
      </c>
      <c r="N23" s="57"/>
    </row>
    <row r="24" ht="12.75" customHeight="1">
      <c r="B24" s="24" t="s">
        <v>32</v>
      </c>
      <c r="C24" s="7" t="s">
        <v>155</v>
      </c>
      <c r="D24" s="18">
        <f t="shared" si="1"/>
        <v>1</v>
      </c>
      <c r="E24" s="30"/>
      <c r="F24" s="17" t="s">
        <v>22</v>
      </c>
      <c r="G24" s="14" t="s">
        <v>17</v>
      </c>
      <c r="H24" s="17" t="s">
        <v>22</v>
      </c>
      <c r="I24" s="17" t="s">
        <v>22</v>
      </c>
      <c r="J24" s="17" t="s">
        <v>12</v>
      </c>
      <c r="K24" s="17" t="s">
        <v>15</v>
      </c>
      <c r="L24" s="17" t="s">
        <v>22</v>
      </c>
      <c r="M24" s="17" t="s">
        <v>22</v>
      </c>
      <c r="N24" s="57"/>
    </row>
    <row r="25" ht="12.75" customHeight="1">
      <c r="B25" s="25" t="s">
        <v>35</v>
      </c>
      <c r="C25" s="26"/>
      <c r="D25" s="8">
        <f t="shared" si="1"/>
        <v>0</v>
      </c>
      <c r="E25" s="27"/>
      <c r="F25" s="28">
        <f t="shared" ref="F25:M25" si="4">COUNTIF(F18:F24,$O$6)*$Q$6+COUNTIF(F18:F24,$O$7)*$Q$7+COUNTIF(F18:F24,$O$8)*$Q$8+COUNTIF(F18:F24,$O$9)*$Q$9+COUNTIF(F18:F24,$O$10)*$Q$10+COUNTIF(F18:F24,$O$11)*$Q$11+COUNTIF(F18:F24,$O$12)*$Q$12+COUNTIF(F18:F24,$O$13)*$Q$13+COUNTIF(F18:F24,$O$14)*$Q$14+COUNTIF(F18:F24,$O$15)*$Q$15+COUNTIF(F18:F24,$O$16)*$Q$16</f>
        <v>35.33</v>
      </c>
      <c r="G25" s="28">
        <f t="shared" si="4"/>
        <v>40.33</v>
      </c>
      <c r="H25" s="28">
        <f t="shared" si="4"/>
        <v>41.33</v>
      </c>
      <c r="I25" s="28">
        <f t="shared" si="4"/>
        <v>51</v>
      </c>
      <c r="J25" s="28">
        <f t="shared" si="4"/>
        <v>48</v>
      </c>
      <c r="K25" s="28">
        <f t="shared" si="4"/>
        <v>44</v>
      </c>
      <c r="L25" s="28">
        <f t="shared" si="4"/>
        <v>37.98</v>
      </c>
      <c r="M25" s="28">
        <f t="shared" si="4"/>
        <v>26.33</v>
      </c>
      <c r="N25" s="57"/>
    </row>
    <row r="26" ht="12.75" customHeight="1">
      <c r="B26" s="6" t="s">
        <v>10</v>
      </c>
      <c r="C26" s="7" t="s">
        <v>156</v>
      </c>
      <c r="D26" s="8">
        <f t="shared" si="1"/>
        <v>4</v>
      </c>
      <c r="E26" s="9"/>
      <c r="F26" s="6" t="s">
        <v>15</v>
      </c>
      <c r="G26" s="6" t="s">
        <v>12</v>
      </c>
      <c r="H26" s="6" t="s">
        <v>16</v>
      </c>
      <c r="I26" s="6" t="s">
        <v>14</v>
      </c>
      <c r="J26" s="6" t="s">
        <v>14</v>
      </c>
      <c r="K26" s="6" t="s">
        <v>157</v>
      </c>
      <c r="L26" s="6" t="s">
        <v>17</v>
      </c>
      <c r="M26" s="6" t="s">
        <v>14</v>
      </c>
      <c r="N26" s="57"/>
    </row>
    <row r="27" ht="12.75" customHeight="1">
      <c r="B27" s="6" t="s">
        <v>18</v>
      </c>
      <c r="C27" s="7" t="s">
        <v>158</v>
      </c>
      <c r="D27" s="8">
        <f t="shared" si="1"/>
        <v>4</v>
      </c>
      <c r="E27" s="9"/>
      <c r="F27" s="6" t="s">
        <v>14</v>
      </c>
      <c r="G27" s="55" t="s">
        <v>14</v>
      </c>
      <c r="H27" s="6" t="s">
        <v>16</v>
      </c>
      <c r="I27" s="15" t="s">
        <v>20</v>
      </c>
      <c r="J27" s="6" t="s">
        <v>15</v>
      </c>
      <c r="K27" s="6" t="s">
        <v>17</v>
      </c>
      <c r="L27" s="6" t="s">
        <v>12</v>
      </c>
      <c r="M27" s="6" t="s">
        <v>14</v>
      </c>
      <c r="N27" s="57"/>
    </row>
    <row r="28" ht="12.75" customHeight="1">
      <c r="B28" s="12" t="s">
        <v>19</v>
      </c>
      <c r="C28" s="7" t="s">
        <v>159</v>
      </c>
      <c r="D28" s="8">
        <f t="shared" si="1"/>
        <v>4</v>
      </c>
      <c r="E28" s="13"/>
      <c r="F28" s="39" t="s">
        <v>160</v>
      </c>
      <c r="G28" s="10" t="s">
        <v>39</v>
      </c>
      <c r="H28" s="39" t="s">
        <v>16</v>
      </c>
      <c r="I28" s="39" t="s">
        <v>15</v>
      </c>
      <c r="J28" s="39" t="s">
        <v>17</v>
      </c>
      <c r="K28" s="6" t="s">
        <v>12</v>
      </c>
      <c r="L28" s="61" t="s">
        <v>13</v>
      </c>
      <c r="M28" s="6" t="s">
        <v>14</v>
      </c>
      <c r="N28" s="57" t="s">
        <v>161</v>
      </c>
    </row>
    <row r="29" ht="12.75" customHeight="1">
      <c r="B29" s="6" t="s">
        <v>21</v>
      </c>
      <c r="C29" s="7" t="s">
        <v>162</v>
      </c>
      <c r="D29" s="8">
        <f t="shared" si="1"/>
        <v>4</v>
      </c>
      <c r="E29" s="21"/>
      <c r="F29" s="40" t="s">
        <v>42</v>
      </c>
      <c r="G29" s="14" t="s">
        <v>163</v>
      </c>
      <c r="H29" s="41" t="s">
        <v>16</v>
      </c>
      <c r="I29" s="41" t="s">
        <v>17</v>
      </c>
      <c r="J29" s="41" t="s">
        <v>12</v>
      </c>
      <c r="K29" s="6" t="s">
        <v>14</v>
      </c>
      <c r="L29" s="41" t="s">
        <v>15</v>
      </c>
      <c r="M29" s="6" t="s">
        <v>14</v>
      </c>
      <c r="N29" s="57"/>
    </row>
    <row r="30" ht="12.75" customHeight="1">
      <c r="B30" s="6" t="s">
        <v>26</v>
      </c>
      <c r="C30" s="7" t="s">
        <v>164</v>
      </c>
      <c r="D30" s="8">
        <f t="shared" si="1"/>
        <v>4</v>
      </c>
      <c r="E30" s="21"/>
      <c r="F30" s="41" t="s">
        <v>14</v>
      </c>
      <c r="G30" s="6" t="s">
        <v>15</v>
      </c>
      <c r="H30" s="41" t="s">
        <v>16</v>
      </c>
      <c r="I30" s="41" t="s">
        <v>12</v>
      </c>
      <c r="J30" s="41" t="s">
        <v>165</v>
      </c>
      <c r="K30" s="6" t="s">
        <v>14</v>
      </c>
      <c r="L30" s="41" t="s">
        <v>17</v>
      </c>
      <c r="M30" s="6" t="s">
        <v>14</v>
      </c>
      <c r="N30" s="57"/>
    </row>
    <row r="31" ht="12.75" customHeight="1">
      <c r="B31" s="24" t="s">
        <v>28</v>
      </c>
      <c r="C31" s="7" t="s">
        <v>166</v>
      </c>
      <c r="D31" s="18">
        <f t="shared" si="1"/>
        <v>3</v>
      </c>
      <c r="E31" s="19"/>
      <c r="F31" s="43" t="s">
        <v>15</v>
      </c>
      <c r="G31" s="17" t="s">
        <v>17</v>
      </c>
      <c r="H31" s="43" t="s">
        <v>16</v>
      </c>
      <c r="I31" s="43" t="s">
        <v>16</v>
      </c>
      <c r="J31" s="43" t="s">
        <v>14</v>
      </c>
      <c r="K31" s="17" t="s">
        <v>14</v>
      </c>
      <c r="L31" s="43" t="s">
        <v>12</v>
      </c>
      <c r="M31" s="43" t="s">
        <v>22</v>
      </c>
      <c r="N31" s="57"/>
    </row>
    <row r="32" ht="12.75" customHeight="1">
      <c r="B32" s="24" t="s">
        <v>32</v>
      </c>
      <c r="C32" s="7" t="s">
        <v>167</v>
      </c>
      <c r="D32" s="18">
        <f t="shared" si="1"/>
        <v>1</v>
      </c>
      <c r="E32" s="19"/>
      <c r="F32" s="43" t="s">
        <v>22</v>
      </c>
      <c r="G32" s="43" t="s">
        <v>12</v>
      </c>
      <c r="H32" s="43" t="s">
        <v>22</v>
      </c>
      <c r="I32" s="43" t="s">
        <v>22</v>
      </c>
      <c r="J32" s="43" t="s">
        <v>15</v>
      </c>
      <c r="K32" s="43" t="s">
        <v>17</v>
      </c>
      <c r="L32" s="43" t="s">
        <v>22</v>
      </c>
      <c r="M32" s="43" t="s">
        <v>22</v>
      </c>
      <c r="N32" s="57"/>
    </row>
    <row r="33" ht="12.75" customHeight="1">
      <c r="B33" s="25" t="s">
        <v>35</v>
      </c>
      <c r="C33" s="26"/>
      <c r="D33" s="8">
        <f t="shared" si="1"/>
        <v>0</v>
      </c>
      <c r="E33" s="27"/>
      <c r="F33" s="28">
        <f t="shared" ref="F33:M33" si="5">COUNTIF(F26:F32,$O$6)*$Q$6+COUNTIF(F26:F32,$O$7)*$Q$7+COUNTIF(F26:F32,$O$8)*$Q$8+COUNTIF(F26:F32,$O$9)*$Q$9+COUNTIF(F26:F32,$O$10)*$Q$10+COUNTIF(F26:F32,$O$11)*$Q$11+COUNTIF(F26:F32,$O$12)*$Q$12+COUNTIF(F26:F32,$O$13)*$Q$13+COUNTIF(F26:F32,$O$14)*$Q$14+COUNTIF(F26:F32,$O$15)*$Q$15+COUNTIF(F26:F32,$O$16)*$Q$16</f>
        <v>44</v>
      </c>
      <c r="G33" s="28">
        <f t="shared" si="5"/>
        <v>36</v>
      </c>
      <c r="H33" s="28">
        <f t="shared" si="5"/>
        <v>37.98</v>
      </c>
      <c r="I33" s="28">
        <f t="shared" si="5"/>
        <v>40.33</v>
      </c>
      <c r="J33" s="28">
        <f t="shared" si="5"/>
        <v>46</v>
      </c>
      <c r="K33" s="28">
        <f t="shared" si="5"/>
        <v>39</v>
      </c>
      <c r="L33" s="28">
        <f t="shared" si="5"/>
        <v>42</v>
      </c>
      <c r="M33" s="28">
        <f t="shared" si="5"/>
        <v>25</v>
      </c>
      <c r="N33" s="57"/>
    </row>
    <row r="34" ht="12.75" customHeight="1">
      <c r="B34" s="6" t="s">
        <v>10</v>
      </c>
      <c r="C34" s="7" t="s">
        <v>168</v>
      </c>
      <c r="D34" s="8">
        <f t="shared" si="1"/>
        <v>4</v>
      </c>
      <c r="E34" s="9"/>
      <c r="F34" s="6" t="s">
        <v>14</v>
      </c>
      <c r="G34" s="6" t="s">
        <v>14</v>
      </c>
      <c r="H34" s="6" t="s">
        <v>17</v>
      </c>
      <c r="I34" s="6" t="s">
        <v>16</v>
      </c>
      <c r="J34" s="6" t="s">
        <v>169</v>
      </c>
      <c r="K34" s="6" t="s">
        <v>12</v>
      </c>
      <c r="L34" s="6" t="s">
        <v>15</v>
      </c>
      <c r="M34" s="6" t="s">
        <v>14</v>
      </c>
      <c r="N34" s="57"/>
      <c r="Q34" s="45"/>
      <c r="R34" s="45"/>
    </row>
    <row r="35" ht="12.75" customHeight="1">
      <c r="B35" s="6" t="s">
        <v>18</v>
      </c>
      <c r="C35" s="7" t="s">
        <v>170</v>
      </c>
      <c r="D35" s="8">
        <f t="shared" si="1"/>
        <v>4</v>
      </c>
      <c r="E35" s="9"/>
      <c r="F35" s="6" t="s">
        <v>17</v>
      </c>
      <c r="G35" s="6" t="s">
        <v>15</v>
      </c>
      <c r="H35" s="6" t="s">
        <v>12</v>
      </c>
      <c r="I35" s="6" t="s">
        <v>16</v>
      </c>
      <c r="J35" s="6" t="s">
        <v>14</v>
      </c>
      <c r="K35" s="15" t="s">
        <v>20</v>
      </c>
      <c r="L35" s="10" t="s">
        <v>13</v>
      </c>
      <c r="M35" s="6" t="s">
        <v>14</v>
      </c>
      <c r="N35" s="57" t="s">
        <v>171</v>
      </c>
      <c r="Q35" s="45"/>
      <c r="R35" s="45"/>
    </row>
    <row r="36" ht="12.75" customHeight="1">
      <c r="B36" s="12" t="s">
        <v>19</v>
      </c>
      <c r="C36" s="7" t="s">
        <v>172</v>
      </c>
      <c r="D36" s="8">
        <f t="shared" si="1"/>
        <v>4</v>
      </c>
      <c r="E36" s="13"/>
      <c r="F36" s="39" t="s">
        <v>12</v>
      </c>
      <c r="G36" s="10" t="s">
        <v>39</v>
      </c>
      <c r="H36" s="39" t="s">
        <v>15</v>
      </c>
      <c r="I36" s="39" t="s">
        <v>16</v>
      </c>
      <c r="J36" s="39" t="s">
        <v>14</v>
      </c>
      <c r="K36" s="14" t="s">
        <v>173</v>
      </c>
      <c r="L36" s="39" t="s">
        <v>17</v>
      </c>
      <c r="M36" s="6" t="s">
        <v>14</v>
      </c>
      <c r="N36" s="57"/>
      <c r="Q36" s="45"/>
      <c r="R36" s="45"/>
    </row>
    <row r="37" ht="12.75" customHeight="1">
      <c r="B37" s="6" t="s">
        <v>21</v>
      </c>
      <c r="C37" s="7" t="s">
        <v>174</v>
      </c>
      <c r="D37" s="8">
        <f t="shared" si="1"/>
        <v>4</v>
      </c>
      <c r="E37" s="21"/>
      <c r="F37" s="40" t="s">
        <v>42</v>
      </c>
      <c r="G37" s="6" t="s">
        <v>175</v>
      </c>
      <c r="H37" s="41" t="s">
        <v>17</v>
      </c>
      <c r="I37" s="41" t="s">
        <v>16</v>
      </c>
      <c r="J37" s="41" t="s">
        <v>14</v>
      </c>
      <c r="K37" s="6" t="s">
        <v>15</v>
      </c>
      <c r="L37" s="41" t="s">
        <v>12</v>
      </c>
      <c r="M37" s="6" t="s">
        <v>14</v>
      </c>
      <c r="N37" s="57"/>
      <c r="Q37" s="45"/>
      <c r="R37" s="45"/>
    </row>
    <row r="38" ht="12.75" customHeight="1">
      <c r="B38" s="6" t="s">
        <v>26</v>
      </c>
      <c r="C38" s="7" t="s">
        <v>176</v>
      </c>
      <c r="D38" s="8">
        <f t="shared" si="1"/>
        <v>4</v>
      </c>
      <c r="E38" s="21"/>
      <c r="F38" s="41" t="s">
        <v>15</v>
      </c>
      <c r="G38" s="6" t="s">
        <v>14</v>
      </c>
      <c r="H38" s="41" t="s">
        <v>12</v>
      </c>
      <c r="I38" s="41" t="s">
        <v>16</v>
      </c>
      <c r="J38" s="41" t="s">
        <v>17</v>
      </c>
      <c r="K38" s="6" t="s">
        <v>22</v>
      </c>
      <c r="L38" s="41" t="s">
        <v>14</v>
      </c>
      <c r="M38" s="6" t="s">
        <v>14</v>
      </c>
      <c r="N38" s="57"/>
      <c r="Q38" s="45"/>
      <c r="R38" s="45"/>
    </row>
    <row r="39" ht="12.75" customHeight="1">
      <c r="B39" s="24" t="s">
        <v>28</v>
      </c>
      <c r="C39" s="7" t="s">
        <v>177</v>
      </c>
      <c r="D39" s="18">
        <f t="shared" si="1"/>
        <v>3</v>
      </c>
      <c r="E39" s="19"/>
      <c r="F39" s="43" t="s">
        <v>17</v>
      </c>
      <c r="G39" s="17" t="s">
        <v>15</v>
      </c>
      <c r="H39" s="43" t="s">
        <v>14</v>
      </c>
      <c r="I39" s="43" t="s">
        <v>16</v>
      </c>
      <c r="J39" s="43" t="s">
        <v>12</v>
      </c>
      <c r="K39" s="17" t="s">
        <v>14</v>
      </c>
      <c r="L39" s="43" t="s">
        <v>178</v>
      </c>
      <c r="M39" s="43" t="s">
        <v>22</v>
      </c>
      <c r="N39" s="57"/>
      <c r="Q39" s="16"/>
      <c r="R39" s="16"/>
    </row>
    <row r="40" ht="12.75" customHeight="1">
      <c r="B40" s="24" t="s">
        <v>32</v>
      </c>
      <c r="C40" s="7" t="s">
        <v>179</v>
      </c>
      <c r="D40" s="18">
        <f t="shared" si="1"/>
        <v>1</v>
      </c>
      <c r="E40" s="19"/>
      <c r="F40" s="43" t="s">
        <v>12</v>
      </c>
      <c r="G40" s="43" t="s">
        <v>22</v>
      </c>
      <c r="H40" s="43" t="s">
        <v>17</v>
      </c>
      <c r="I40" s="43" t="s">
        <v>22</v>
      </c>
      <c r="J40" s="43" t="s">
        <v>22</v>
      </c>
      <c r="K40" s="43" t="s">
        <v>22</v>
      </c>
      <c r="L40" s="43" t="s">
        <v>15</v>
      </c>
      <c r="M40" s="43" t="s">
        <v>22</v>
      </c>
      <c r="N40" s="57"/>
      <c r="Q40" s="16"/>
      <c r="R40" s="16"/>
    </row>
    <row r="41" ht="12.75" customHeight="1">
      <c r="B41" s="25" t="s">
        <v>35</v>
      </c>
      <c r="C41" s="26"/>
      <c r="D41" s="8">
        <f t="shared" si="1"/>
        <v>0</v>
      </c>
      <c r="E41" s="27"/>
      <c r="F41" s="28">
        <f t="shared" ref="F41:M41" si="6">COUNTIF(F34:F40,$O$6)*$Q$6+COUNTIF(F34:F40,$O$7)*$Q$7+COUNTIF(F34:F40,$O$8)*$Q$8+COUNTIF(F34:F40,$O$9)*$Q$9+COUNTIF(F34:F40,$O$10)*$Q$10+COUNTIF(F34:F40,$O$11)*$Q$11+COUNTIF(F34:F40,$O$12)*$Q$12+COUNTIF(F34:F40,$O$13)*$Q$13+COUNTIF(F34:F40,$O$14)*$Q$14+COUNTIF(F34:F40,$O$15)*$Q$15+COUNTIF(F34:F40,$O$16)*$Q$16</f>
        <v>51</v>
      </c>
      <c r="G41" s="28">
        <f t="shared" si="6"/>
        <v>41</v>
      </c>
      <c r="H41" s="28">
        <f t="shared" si="6"/>
        <v>53</v>
      </c>
      <c r="I41" s="28">
        <f t="shared" si="6"/>
        <v>37.98</v>
      </c>
      <c r="J41" s="28">
        <f t="shared" si="6"/>
        <v>27</v>
      </c>
      <c r="K41" s="28">
        <f t="shared" si="6"/>
        <v>22</v>
      </c>
      <c r="L41" s="28">
        <f t="shared" si="6"/>
        <v>47</v>
      </c>
      <c r="M41" s="28">
        <f t="shared" si="6"/>
        <v>25</v>
      </c>
      <c r="N41" s="57"/>
      <c r="Q41" s="16"/>
      <c r="R41" s="16"/>
    </row>
    <row r="42" ht="12.75" customHeight="1">
      <c r="B42" s="6" t="s">
        <v>10</v>
      </c>
      <c r="C42" s="7" t="s">
        <v>180</v>
      </c>
      <c r="D42" s="8">
        <f t="shared" si="1"/>
        <v>4</v>
      </c>
      <c r="E42" s="9"/>
      <c r="F42" s="6" t="s">
        <v>14</v>
      </c>
      <c r="G42" s="6" t="s">
        <v>14</v>
      </c>
      <c r="H42" s="6" t="s">
        <v>12</v>
      </c>
      <c r="I42" s="6" t="s">
        <v>17</v>
      </c>
      <c r="J42" s="6" t="s">
        <v>15</v>
      </c>
      <c r="K42" s="6" t="s">
        <v>14</v>
      </c>
      <c r="L42" s="6" t="s">
        <v>181</v>
      </c>
      <c r="M42" s="6" t="s">
        <v>16</v>
      </c>
      <c r="N42" s="57"/>
      <c r="Q42" s="16"/>
      <c r="R42" s="16"/>
    </row>
    <row r="43" ht="12.75" customHeight="1">
      <c r="B43" s="6" t="s">
        <v>18</v>
      </c>
      <c r="C43" s="7" t="s">
        <v>182</v>
      </c>
      <c r="D43" s="8">
        <f t="shared" si="1"/>
        <v>4</v>
      </c>
      <c r="E43" s="9"/>
      <c r="F43" s="15" t="s">
        <v>20</v>
      </c>
      <c r="G43" s="6" t="s">
        <v>14</v>
      </c>
      <c r="H43" s="10" t="s">
        <v>13</v>
      </c>
      <c r="I43" s="6" t="s">
        <v>12</v>
      </c>
      <c r="J43" s="6" t="s">
        <v>14</v>
      </c>
      <c r="K43" s="6" t="s">
        <v>15</v>
      </c>
      <c r="L43" s="6" t="s">
        <v>17</v>
      </c>
      <c r="M43" s="6" t="s">
        <v>16</v>
      </c>
      <c r="N43" s="57" t="s">
        <v>183</v>
      </c>
      <c r="Q43" s="16"/>
      <c r="R43" s="16"/>
    </row>
    <row r="44" ht="12.75" customHeight="1">
      <c r="B44" s="12" t="s">
        <v>19</v>
      </c>
      <c r="C44" s="7" t="s">
        <v>184</v>
      </c>
      <c r="D44" s="8">
        <f t="shared" si="1"/>
        <v>4</v>
      </c>
      <c r="E44" s="13"/>
      <c r="F44" s="39" t="s">
        <v>22</v>
      </c>
      <c r="G44" s="6" t="s">
        <v>17</v>
      </c>
      <c r="H44" s="39" t="s">
        <v>15</v>
      </c>
      <c r="I44" s="62" t="s">
        <v>14</v>
      </c>
      <c r="J44" s="61" t="s">
        <v>39</v>
      </c>
      <c r="K44" s="14" t="s">
        <v>14</v>
      </c>
      <c r="L44" s="39" t="s">
        <v>12</v>
      </c>
      <c r="M44" s="6" t="s">
        <v>16</v>
      </c>
      <c r="N44" s="57"/>
      <c r="Q44" s="16"/>
      <c r="R44" s="16"/>
    </row>
    <row r="45" ht="12.75" customHeight="1">
      <c r="B45" s="6" t="s">
        <v>21</v>
      </c>
      <c r="C45" s="7" t="s">
        <v>185</v>
      </c>
      <c r="D45" s="8">
        <f t="shared" si="1"/>
        <v>5</v>
      </c>
      <c r="E45" s="21"/>
      <c r="F45" s="41" t="s">
        <v>22</v>
      </c>
      <c r="G45" s="6" t="s">
        <v>12</v>
      </c>
      <c r="H45" s="41" t="s">
        <v>14</v>
      </c>
      <c r="I45" s="41" t="s">
        <v>15</v>
      </c>
      <c r="J45" s="41" t="s">
        <v>17</v>
      </c>
      <c r="K45" s="15" t="s">
        <v>42</v>
      </c>
      <c r="L45" s="41" t="s">
        <v>14</v>
      </c>
      <c r="M45" s="6" t="s">
        <v>14</v>
      </c>
      <c r="N45" s="57"/>
      <c r="Q45" s="16"/>
      <c r="R45" s="16"/>
    </row>
    <row r="46" ht="12.75" customHeight="1">
      <c r="B46" s="6" t="s">
        <v>26</v>
      </c>
      <c r="C46" s="7" t="s">
        <v>186</v>
      </c>
      <c r="D46" s="8">
        <f t="shared" si="1"/>
        <v>5</v>
      </c>
      <c r="E46" s="21"/>
      <c r="F46" s="41" t="s">
        <v>14</v>
      </c>
      <c r="G46" s="6" t="s">
        <v>14</v>
      </c>
      <c r="H46" s="41" t="s">
        <v>187</v>
      </c>
      <c r="I46" s="41" t="s">
        <v>17</v>
      </c>
      <c r="J46" s="41" t="s">
        <v>12</v>
      </c>
      <c r="K46" s="6" t="s">
        <v>14</v>
      </c>
      <c r="L46" s="41" t="s">
        <v>15</v>
      </c>
      <c r="M46" s="6" t="s">
        <v>14</v>
      </c>
      <c r="N46" s="57"/>
      <c r="Q46" s="16"/>
      <c r="R46" s="16"/>
    </row>
    <row r="47" ht="12.75" customHeight="1">
      <c r="B47" s="24" t="s">
        <v>28</v>
      </c>
      <c r="C47" s="7" t="s">
        <v>188</v>
      </c>
      <c r="D47" s="18">
        <f t="shared" si="1"/>
        <v>3</v>
      </c>
      <c r="E47" s="19"/>
      <c r="F47" s="43" t="s">
        <v>14</v>
      </c>
      <c r="G47" s="17" t="s">
        <v>14</v>
      </c>
      <c r="H47" s="43" t="s">
        <v>15</v>
      </c>
      <c r="I47" s="43" t="s">
        <v>12</v>
      </c>
      <c r="J47" s="43" t="s">
        <v>16</v>
      </c>
      <c r="K47" s="17" t="s">
        <v>22</v>
      </c>
      <c r="L47" s="43" t="s">
        <v>17</v>
      </c>
      <c r="M47" s="43" t="s">
        <v>16</v>
      </c>
      <c r="N47" s="57"/>
      <c r="Q47" s="16"/>
      <c r="R47" s="16"/>
    </row>
    <row r="48" ht="12.75" customHeight="1">
      <c r="B48" s="24" t="s">
        <v>32</v>
      </c>
      <c r="C48" s="7" t="s">
        <v>189</v>
      </c>
      <c r="D48" s="18">
        <f t="shared" si="1"/>
        <v>1</v>
      </c>
      <c r="E48" s="19"/>
      <c r="F48" s="43" t="s">
        <v>17</v>
      </c>
      <c r="G48" s="43" t="s">
        <v>15</v>
      </c>
      <c r="H48" s="43" t="s">
        <v>22</v>
      </c>
      <c r="I48" s="43" t="s">
        <v>22</v>
      </c>
      <c r="J48" s="43" t="s">
        <v>22</v>
      </c>
      <c r="K48" s="43" t="s">
        <v>22</v>
      </c>
      <c r="L48" s="43" t="s">
        <v>12</v>
      </c>
      <c r="M48" s="43" t="s">
        <v>22</v>
      </c>
      <c r="N48" s="57"/>
      <c r="Q48" s="16"/>
      <c r="R48" s="16"/>
    </row>
    <row r="49" ht="12.75" customHeight="1">
      <c r="B49" s="25" t="s">
        <v>35</v>
      </c>
      <c r="C49" s="26"/>
      <c r="D49" s="8">
        <f t="shared" si="1"/>
        <v>0</v>
      </c>
      <c r="E49" s="27"/>
      <c r="F49" s="28">
        <f t="shared" ref="F49:M49" si="7">COUNTIF(F42:F48,$O$6)*$Q$6+COUNTIF(F42:F48,$O$7)*$Q$7+COUNTIF(F42:F48,$O$8)*$Q$8+COUNTIF(F42:F48,$O$9)*$Q$9+COUNTIF(F42:F48,$O$10)*$Q$10+COUNTIF(F42:F48,$O$11)*$Q$11+COUNTIF(F42:F48,$O$12)*$Q$12+COUNTIF(F42:F48,$O$13)*$Q$13+COUNTIF(F42:F48,$O$14)*$Q$14+COUNTIF(F42:F48,$O$15)*$Q$15+COUNTIF(F42:F48,$O$16)*$Q$16</f>
        <v>32</v>
      </c>
      <c r="G49" s="28">
        <f t="shared" si="7"/>
        <v>44</v>
      </c>
      <c r="H49" s="28">
        <f t="shared" si="7"/>
        <v>35</v>
      </c>
      <c r="I49" s="28">
        <f t="shared" si="7"/>
        <v>41</v>
      </c>
      <c r="J49" s="28">
        <f t="shared" si="7"/>
        <v>42.33</v>
      </c>
      <c r="K49" s="28">
        <f t="shared" si="7"/>
        <v>37</v>
      </c>
      <c r="L49" s="28">
        <f t="shared" si="7"/>
        <v>41</v>
      </c>
      <c r="M49" s="28">
        <f t="shared" si="7"/>
        <v>35.32</v>
      </c>
      <c r="N49" s="57"/>
      <c r="Q49" s="16"/>
      <c r="R49" s="16"/>
    </row>
    <row r="50" ht="12.75" customHeight="1">
      <c r="B50" s="50" t="s">
        <v>92</v>
      </c>
      <c r="C50" s="26"/>
      <c r="D50" s="51" t="s">
        <v>190</v>
      </c>
      <c r="E50" s="26"/>
      <c r="F50" s="29">
        <f t="shared" ref="F50:M50" si="8">(F9+F17+F25+F33+F41+F49)</f>
        <v>244.31</v>
      </c>
      <c r="G50" s="29">
        <f t="shared" si="8"/>
        <v>247.66</v>
      </c>
      <c r="H50" s="29">
        <f t="shared" si="8"/>
        <v>247.31</v>
      </c>
      <c r="I50" s="29">
        <f t="shared" si="8"/>
        <v>248.31</v>
      </c>
      <c r="J50" s="29">
        <f t="shared" si="8"/>
        <v>233.33</v>
      </c>
      <c r="K50" s="29">
        <f t="shared" si="8"/>
        <v>232</v>
      </c>
      <c r="L50" s="29">
        <f t="shared" si="8"/>
        <v>249.31</v>
      </c>
      <c r="M50" s="29">
        <f t="shared" si="8"/>
        <v>161.65</v>
      </c>
      <c r="N50" s="57"/>
      <c r="Q50" s="16"/>
      <c r="R50" s="16"/>
    </row>
    <row r="51" ht="12.75" customHeight="1">
      <c r="A51" s="16"/>
      <c r="F51" s="54" t="s">
        <v>1</v>
      </c>
      <c r="G51" s="54" t="s">
        <v>2</v>
      </c>
      <c r="H51" s="54" t="s">
        <v>3</v>
      </c>
      <c r="I51" s="54" t="s">
        <v>4</v>
      </c>
      <c r="J51" s="54" t="s">
        <v>5</v>
      </c>
      <c r="K51" s="54" t="s">
        <v>6</v>
      </c>
      <c r="L51" s="54" t="s">
        <v>7</v>
      </c>
      <c r="M51" s="54" t="s">
        <v>9</v>
      </c>
      <c r="N51" s="57"/>
      <c r="Q51" s="16"/>
      <c r="R51" s="16"/>
    </row>
    <row r="52" ht="12.75" customHeight="1"/>
    <row r="53" ht="12.75" customHeight="1">
      <c r="E53" s="55" t="s">
        <v>15</v>
      </c>
      <c r="F53" s="55">
        <v>5.0</v>
      </c>
      <c r="G53" s="55">
        <v>4.0</v>
      </c>
      <c r="H53" s="55">
        <v>4.0</v>
      </c>
      <c r="I53" s="55">
        <v>4.0</v>
      </c>
      <c r="J53" s="55">
        <v>5.0</v>
      </c>
      <c r="K53" s="55">
        <v>5.0</v>
      </c>
      <c r="L53" s="55">
        <v>4.0</v>
      </c>
      <c r="M53" s="55"/>
    </row>
    <row r="54" ht="12.75" customHeight="1">
      <c r="E54" s="55" t="s">
        <v>17</v>
      </c>
      <c r="F54" s="55">
        <v>4.0</v>
      </c>
      <c r="G54" s="55">
        <v>5.0</v>
      </c>
      <c r="H54" s="55">
        <v>5.0</v>
      </c>
      <c r="I54" s="55">
        <v>4.0</v>
      </c>
      <c r="J54" s="55">
        <v>4.0</v>
      </c>
      <c r="K54" s="55">
        <v>4.0</v>
      </c>
      <c r="L54" s="55">
        <v>5.0</v>
      </c>
      <c r="M54" s="55"/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B9:C9"/>
    <mergeCell ref="B17:C17"/>
    <mergeCell ref="B25:C25"/>
    <mergeCell ref="B33:C33"/>
    <mergeCell ref="B41:C41"/>
    <mergeCell ref="B49:C49"/>
    <mergeCell ref="B50:C50"/>
    <mergeCell ref="D50:E50"/>
  </mergeCells>
  <printOptions/>
  <pageMargins bottom="0.0" footer="0.0" header="0.0" left="0.0" right="0.0" top="0.0"/>
  <pageSetup paperSize="9" orientation="portrait"/>
  <headerFooter>
    <oddHeader>&amp;Cffffff&amp;A</oddHeader>
    <oddFooter>&amp;CffffffPagina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2" width="10.0"/>
    <col customWidth="1" min="23" max="26" width="6.5"/>
  </cols>
  <sheetData>
    <row r="1" ht="12.75" customHeight="1">
      <c r="B1" s="57"/>
      <c r="C1" s="57"/>
      <c r="D1" s="1" t="s">
        <v>0</v>
      </c>
      <c r="E1" s="2"/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9</v>
      </c>
      <c r="N1" s="3" t="s">
        <v>8</v>
      </c>
      <c r="O1" s="5"/>
      <c r="P1" s="5"/>
      <c r="Q1" s="5"/>
      <c r="R1" s="5"/>
    </row>
    <row r="2" ht="12.75" customHeight="1">
      <c r="B2" s="6" t="s">
        <v>10</v>
      </c>
      <c r="C2" s="7" t="s">
        <v>180</v>
      </c>
      <c r="D2" s="8">
        <f t="shared" ref="D2:D9" si="1">COUNTIF(E2:M2,$Q$6)*$T$6+COUNTIF(E2:M2,$Q$7)*$T$7+COUNTIF(E2:M2,$Q$9)*$T$9+COUNTIF(E2:M2,$Q$10)*$T$10+COUNTIF(E2:M2,$Q$11)*$T$11</f>
        <v>4</v>
      </c>
      <c r="E2" s="9"/>
      <c r="F2" s="6" t="s">
        <v>14</v>
      </c>
      <c r="G2" s="6" t="s">
        <v>14</v>
      </c>
      <c r="H2" s="6" t="s">
        <v>12</v>
      </c>
      <c r="I2" s="6" t="s">
        <v>17</v>
      </c>
      <c r="J2" s="6" t="s">
        <v>15</v>
      </c>
      <c r="K2" s="6" t="s">
        <v>14</v>
      </c>
      <c r="L2" s="6" t="s">
        <v>181</v>
      </c>
      <c r="M2" s="6" t="s">
        <v>16</v>
      </c>
      <c r="N2" s="6" t="s">
        <v>22</v>
      </c>
    </row>
    <row r="3" ht="12.75" customHeight="1">
      <c r="B3" s="6" t="s">
        <v>18</v>
      </c>
      <c r="C3" s="7" t="s">
        <v>182</v>
      </c>
      <c r="D3" s="8">
        <f t="shared" si="1"/>
        <v>4</v>
      </c>
      <c r="E3" s="9"/>
      <c r="F3" s="15" t="s">
        <v>20</v>
      </c>
      <c r="G3" s="6" t="s">
        <v>14</v>
      </c>
      <c r="H3" s="10" t="s">
        <v>13</v>
      </c>
      <c r="I3" s="6" t="s">
        <v>12</v>
      </c>
      <c r="J3" s="6" t="s">
        <v>14</v>
      </c>
      <c r="K3" s="6" t="s">
        <v>15</v>
      </c>
      <c r="L3" s="6" t="s">
        <v>17</v>
      </c>
      <c r="M3" s="6" t="s">
        <v>16</v>
      </c>
      <c r="N3" s="6" t="s">
        <v>22</v>
      </c>
    </row>
    <row r="4" ht="12.75" customHeight="1">
      <c r="B4" s="12" t="s">
        <v>19</v>
      </c>
      <c r="C4" s="7" t="s">
        <v>184</v>
      </c>
      <c r="D4" s="8">
        <f t="shared" si="1"/>
        <v>4</v>
      </c>
      <c r="E4" s="13"/>
      <c r="F4" s="39" t="s">
        <v>22</v>
      </c>
      <c r="G4" s="6" t="s">
        <v>17</v>
      </c>
      <c r="H4" s="39" t="s">
        <v>15</v>
      </c>
      <c r="I4" s="62" t="s">
        <v>14</v>
      </c>
      <c r="J4" s="61" t="s">
        <v>39</v>
      </c>
      <c r="K4" s="14" t="s">
        <v>14</v>
      </c>
      <c r="L4" s="39" t="s">
        <v>12</v>
      </c>
      <c r="M4" s="6" t="s">
        <v>16</v>
      </c>
      <c r="N4" s="6" t="s">
        <v>22</v>
      </c>
      <c r="O4" s="16"/>
    </row>
    <row r="5" ht="12.75" customHeight="1">
      <c r="B5" s="12" t="s">
        <v>21</v>
      </c>
      <c r="C5" s="7" t="s">
        <v>185</v>
      </c>
      <c r="D5" s="8">
        <f t="shared" si="1"/>
        <v>5</v>
      </c>
      <c r="E5" s="21"/>
      <c r="F5" s="41" t="s">
        <v>22</v>
      </c>
      <c r="G5" s="6" t="s">
        <v>12</v>
      </c>
      <c r="H5" s="41" t="s">
        <v>14</v>
      </c>
      <c r="I5" s="41" t="s">
        <v>15</v>
      </c>
      <c r="J5" s="41" t="s">
        <v>17</v>
      </c>
      <c r="K5" s="15" t="s">
        <v>42</v>
      </c>
      <c r="L5" s="41" t="s">
        <v>14</v>
      </c>
      <c r="M5" s="6" t="s">
        <v>14</v>
      </c>
      <c r="N5" s="6" t="s">
        <v>22</v>
      </c>
      <c r="Q5" s="20" t="s">
        <v>23</v>
      </c>
      <c r="R5" s="20"/>
      <c r="S5" s="20" t="s">
        <v>24</v>
      </c>
      <c r="T5" s="20" t="s">
        <v>25</v>
      </c>
    </row>
    <row r="6" ht="12.75" customHeight="1">
      <c r="B6" s="12" t="s">
        <v>26</v>
      </c>
      <c r="C6" s="7" t="s">
        <v>186</v>
      </c>
      <c r="D6" s="8">
        <f t="shared" si="1"/>
        <v>5</v>
      </c>
      <c r="E6" s="21"/>
      <c r="F6" s="41" t="s">
        <v>14</v>
      </c>
      <c r="G6" s="6" t="s">
        <v>14</v>
      </c>
      <c r="H6" s="41" t="s">
        <v>187</v>
      </c>
      <c r="I6" s="41" t="s">
        <v>17</v>
      </c>
      <c r="J6" s="41" t="s">
        <v>12</v>
      </c>
      <c r="K6" s="6" t="s">
        <v>14</v>
      </c>
      <c r="L6" s="41" t="s">
        <v>15</v>
      </c>
      <c r="M6" s="6" t="s">
        <v>14</v>
      </c>
      <c r="N6" s="6" t="s">
        <v>22</v>
      </c>
      <c r="Q6" s="22" t="s">
        <v>14</v>
      </c>
      <c r="R6" s="22" t="s">
        <v>27</v>
      </c>
      <c r="S6" s="23">
        <v>5.0</v>
      </c>
      <c r="T6" s="23">
        <v>1.0</v>
      </c>
    </row>
    <row r="7" ht="12.75" customHeight="1">
      <c r="B7" s="24" t="s">
        <v>28</v>
      </c>
      <c r="C7" s="7" t="s">
        <v>188</v>
      </c>
      <c r="D7" s="63">
        <f t="shared" si="1"/>
        <v>3</v>
      </c>
      <c r="E7" s="19"/>
      <c r="F7" s="43" t="s">
        <v>14</v>
      </c>
      <c r="G7" s="17" t="s">
        <v>14</v>
      </c>
      <c r="H7" s="43" t="s">
        <v>15</v>
      </c>
      <c r="I7" s="43" t="s">
        <v>12</v>
      </c>
      <c r="J7" s="43" t="s">
        <v>16</v>
      </c>
      <c r="K7" s="17" t="s">
        <v>22</v>
      </c>
      <c r="L7" s="43" t="s">
        <v>17</v>
      </c>
      <c r="M7" s="43" t="s">
        <v>16</v>
      </c>
      <c r="N7" s="17" t="s">
        <v>22</v>
      </c>
      <c r="Q7" s="22" t="s">
        <v>15</v>
      </c>
      <c r="R7" s="22" t="s">
        <v>31</v>
      </c>
      <c r="S7" s="23">
        <v>12.0</v>
      </c>
      <c r="T7" s="23">
        <v>1.0</v>
      </c>
    </row>
    <row r="8" ht="12.75" customHeight="1">
      <c r="B8" s="24" t="s">
        <v>32</v>
      </c>
      <c r="C8" s="7" t="s">
        <v>189</v>
      </c>
      <c r="D8" s="63">
        <f t="shared" si="1"/>
        <v>1</v>
      </c>
      <c r="E8" s="19"/>
      <c r="F8" s="43" t="s">
        <v>17</v>
      </c>
      <c r="G8" s="43" t="s">
        <v>15</v>
      </c>
      <c r="H8" s="43" t="s">
        <v>22</v>
      </c>
      <c r="I8" s="43" t="s">
        <v>22</v>
      </c>
      <c r="J8" s="43" t="s">
        <v>22</v>
      </c>
      <c r="K8" s="43" t="s">
        <v>22</v>
      </c>
      <c r="L8" s="43" t="s">
        <v>12</v>
      </c>
      <c r="M8" s="43" t="s">
        <v>22</v>
      </c>
      <c r="N8" s="17" t="s">
        <v>22</v>
      </c>
      <c r="O8" s="57"/>
      <c r="Q8" s="22" t="s">
        <v>17</v>
      </c>
      <c r="R8" s="22" t="s">
        <v>33</v>
      </c>
      <c r="S8" s="23">
        <v>12.0</v>
      </c>
      <c r="T8" s="22" t="s">
        <v>34</v>
      </c>
    </row>
    <row r="9" ht="12.75" customHeight="1">
      <c r="B9" s="25" t="s">
        <v>35</v>
      </c>
      <c r="C9" s="26"/>
      <c r="D9" s="8">
        <f t="shared" si="1"/>
        <v>0</v>
      </c>
      <c r="E9" s="27"/>
      <c r="F9" s="28">
        <f t="shared" ref="F9:N9" si="2">COUNTIF(F2:F8,$Q$6)*$S$6+COUNTIF(F2:F8,$Q$7)*$S$7+COUNTIF(F2:F8,$Q$8)*$S$8+COUNTIF(F2:F8,$Q$9)*$S$9+COUNTIF(F2:F8,$Q$10)*$S$10+COUNTIF(F2:F8,$Q$11)*$S$11+COUNTIF(F2:F8,$Q$12)*$S$12+COUNTIF(F2:F8,$Q$13)*$S$13+COUNTIF(F2:F8,$Q$14)*$S$14+COUNTIF(F2:F8,$Q$15)*$S$15+COUNTIF(F2:F8,$Q$16)*$S$16</f>
        <v>32</v>
      </c>
      <c r="G9" s="28">
        <f t="shared" si="2"/>
        <v>44</v>
      </c>
      <c r="H9" s="28">
        <f t="shared" si="2"/>
        <v>35</v>
      </c>
      <c r="I9" s="28">
        <f t="shared" si="2"/>
        <v>41</v>
      </c>
      <c r="J9" s="28">
        <f t="shared" si="2"/>
        <v>42.33</v>
      </c>
      <c r="K9" s="28">
        <f t="shared" si="2"/>
        <v>37</v>
      </c>
      <c r="L9" s="28">
        <f t="shared" si="2"/>
        <v>41</v>
      </c>
      <c r="M9" s="28">
        <f t="shared" si="2"/>
        <v>35.32</v>
      </c>
      <c r="N9" s="28">
        <f t="shared" si="2"/>
        <v>0</v>
      </c>
      <c r="O9" s="57"/>
      <c r="Q9" s="22" t="s">
        <v>13</v>
      </c>
      <c r="R9" s="22" t="s">
        <v>36</v>
      </c>
      <c r="S9" s="23">
        <v>6.0</v>
      </c>
      <c r="T9" s="23">
        <v>1.0</v>
      </c>
    </row>
    <row r="10" ht="12.75" customHeight="1">
      <c r="B10" s="17" t="s">
        <v>10</v>
      </c>
      <c r="C10" s="7" t="s">
        <v>191</v>
      </c>
      <c r="D10" s="63">
        <f t="shared" ref="D10:D40" si="3">COUNTIF(E10:N10,$Q$6)*$T$6+COUNTIF(E10:N10,$Q$7)*$T$7+COUNTIF(E10:N10,$Q$9)*$T$9+COUNTIF(E10:N10,$Q$10)*$T$10+COUNTIF(E10:N10,$Q$11)*$T$11</f>
        <v>2</v>
      </c>
      <c r="E10" s="30"/>
      <c r="F10" s="17" t="s">
        <v>12</v>
      </c>
      <c r="G10" s="17" t="s">
        <v>22</v>
      </c>
      <c r="H10" s="17" t="s">
        <v>17</v>
      </c>
      <c r="I10" s="17" t="s">
        <v>22</v>
      </c>
      <c r="J10" s="17" t="s">
        <v>22</v>
      </c>
      <c r="K10" s="17" t="s">
        <v>15</v>
      </c>
      <c r="L10" s="17" t="s">
        <v>14</v>
      </c>
      <c r="M10" s="17" t="s">
        <v>22</v>
      </c>
      <c r="N10" s="17" t="s">
        <v>22</v>
      </c>
      <c r="O10" s="11"/>
      <c r="Q10" s="22" t="s">
        <v>39</v>
      </c>
      <c r="R10" s="22" t="s">
        <v>40</v>
      </c>
      <c r="S10" s="23">
        <v>7.0</v>
      </c>
      <c r="T10" s="23">
        <v>1.0</v>
      </c>
    </row>
    <row r="11" ht="12.75" customHeight="1">
      <c r="B11" s="12" t="s">
        <v>18</v>
      </c>
      <c r="C11" s="7" t="s">
        <v>192</v>
      </c>
      <c r="D11" s="8">
        <f t="shared" si="3"/>
        <v>4</v>
      </c>
      <c r="E11" s="9"/>
      <c r="F11" s="15" t="s">
        <v>20</v>
      </c>
      <c r="G11" s="6" t="s">
        <v>14</v>
      </c>
      <c r="H11" s="6" t="s">
        <v>12</v>
      </c>
      <c r="I11" s="6" t="s">
        <v>15</v>
      </c>
      <c r="J11" s="6" t="s">
        <v>16</v>
      </c>
      <c r="K11" s="6" t="s">
        <v>17</v>
      </c>
      <c r="L11" s="11" t="s">
        <v>193</v>
      </c>
      <c r="M11" s="6" t="s">
        <v>14</v>
      </c>
      <c r="N11" s="6" t="s">
        <v>14</v>
      </c>
      <c r="O11" s="11"/>
      <c r="Q11" s="22" t="s">
        <v>42</v>
      </c>
      <c r="R11" s="22" t="s">
        <v>43</v>
      </c>
      <c r="S11" s="23">
        <v>10.0</v>
      </c>
      <c r="T11" s="23">
        <v>1.0</v>
      </c>
    </row>
    <row r="12" ht="12.75" customHeight="1">
      <c r="B12" s="12" t="s">
        <v>19</v>
      </c>
      <c r="C12" s="7" t="s">
        <v>194</v>
      </c>
      <c r="D12" s="8">
        <f t="shared" si="3"/>
        <v>5</v>
      </c>
      <c r="E12" s="9"/>
      <c r="F12" s="6" t="s">
        <v>195</v>
      </c>
      <c r="G12" s="10" t="s">
        <v>39</v>
      </c>
      <c r="H12" s="11" t="s">
        <v>14</v>
      </c>
      <c r="I12" s="6" t="s">
        <v>14</v>
      </c>
      <c r="J12" s="6" t="s">
        <v>16</v>
      </c>
      <c r="K12" s="6" t="s">
        <v>12</v>
      </c>
      <c r="L12" s="6" t="s">
        <v>17</v>
      </c>
      <c r="M12" s="6" t="s">
        <v>14</v>
      </c>
      <c r="N12" s="6" t="s">
        <v>15</v>
      </c>
      <c r="O12" s="11"/>
      <c r="P12" s="57"/>
      <c r="Q12" s="22" t="s">
        <v>20</v>
      </c>
      <c r="R12" s="22" t="s">
        <v>46</v>
      </c>
      <c r="S12" s="23">
        <v>5.0</v>
      </c>
      <c r="T12" s="22" t="s">
        <v>34</v>
      </c>
    </row>
    <row r="13" ht="12.75" customHeight="1">
      <c r="B13" s="12" t="s">
        <v>21</v>
      </c>
      <c r="C13" s="7" t="s">
        <v>196</v>
      </c>
      <c r="D13" s="8">
        <f t="shared" si="3"/>
        <v>4</v>
      </c>
      <c r="E13" s="9"/>
      <c r="F13" s="6" t="s">
        <v>14</v>
      </c>
      <c r="G13" s="6" t="s">
        <v>197</v>
      </c>
      <c r="H13" s="6" t="s">
        <v>15</v>
      </c>
      <c r="I13" s="6" t="s">
        <v>14</v>
      </c>
      <c r="J13" s="6" t="s">
        <v>16</v>
      </c>
      <c r="K13" s="15" t="s">
        <v>48</v>
      </c>
      <c r="L13" s="6" t="s">
        <v>12</v>
      </c>
      <c r="M13" s="6" t="s">
        <v>14</v>
      </c>
      <c r="N13" s="6" t="s">
        <v>17</v>
      </c>
      <c r="O13" s="11" t="s">
        <v>198</v>
      </c>
      <c r="P13" s="11"/>
      <c r="Q13" s="22" t="s">
        <v>48</v>
      </c>
      <c r="R13" s="22" t="s">
        <v>49</v>
      </c>
      <c r="S13" s="23">
        <v>10.0</v>
      </c>
      <c r="T13" s="22" t="s">
        <v>34</v>
      </c>
    </row>
    <row r="14" ht="12.75" customHeight="1">
      <c r="B14" s="12" t="s">
        <v>26</v>
      </c>
      <c r="C14" s="7" t="s">
        <v>199</v>
      </c>
      <c r="D14" s="8">
        <f t="shared" si="3"/>
        <v>4</v>
      </c>
      <c r="E14" s="9"/>
      <c r="F14" s="6" t="s">
        <v>14</v>
      </c>
      <c r="G14" s="6" t="s">
        <v>15</v>
      </c>
      <c r="H14" s="14" t="s">
        <v>17</v>
      </c>
      <c r="I14" s="6" t="s">
        <v>14</v>
      </c>
      <c r="J14" s="6" t="s">
        <v>16</v>
      </c>
      <c r="K14" s="11" t="s">
        <v>200</v>
      </c>
      <c r="L14" s="6" t="s">
        <v>200</v>
      </c>
      <c r="M14" s="6" t="s">
        <v>14</v>
      </c>
      <c r="N14" s="6" t="s">
        <v>12</v>
      </c>
      <c r="O14" s="11"/>
      <c r="P14" s="57"/>
      <c r="Q14" s="31" t="s">
        <v>52</v>
      </c>
      <c r="R14" s="31" t="s">
        <v>53</v>
      </c>
      <c r="S14" s="32">
        <v>6.33</v>
      </c>
      <c r="T14" s="32" t="s">
        <v>34</v>
      </c>
    </row>
    <row r="15" ht="12.75" customHeight="1">
      <c r="B15" s="24" t="s">
        <v>28</v>
      </c>
      <c r="C15" s="7" t="s">
        <v>201</v>
      </c>
      <c r="D15" s="18">
        <f t="shared" si="3"/>
        <v>3</v>
      </c>
      <c r="E15" s="30"/>
      <c r="F15" s="24" t="s">
        <v>14</v>
      </c>
      <c r="G15" s="14" t="s">
        <v>52</v>
      </c>
      <c r="H15" s="24" t="s">
        <v>12</v>
      </c>
      <c r="I15" s="24" t="s">
        <v>14</v>
      </c>
      <c r="J15" s="17" t="s">
        <v>16</v>
      </c>
      <c r="K15" s="24" t="s">
        <v>17</v>
      </c>
      <c r="L15" s="24" t="s">
        <v>15</v>
      </c>
      <c r="M15" s="17" t="s">
        <v>22</v>
      </c>
      <c r="N15" s="17" t="s">
        <v>22</v>
      </c>
      <c r="O15" s="11"/>
      <c r="P15" s="57"/>
      <c r="Q15" s="31" t="s">
        <v>16</v>
      </c>
      <c r="R15" s="31" t="s">
        <v>57</v>
      </c>
      <c r="S15" s="32">
        <v>6.33</v>
      </c>
      <c r="T15" s="32" t="s">
        <v>34</v>
      </c>
    </row>
    <row r="16" ht="12.75" customHeight="1">
      <c r="B16" s="24" t="s">
        <v>32</v>
      </c>
      <c r="C16" s="7" t="s">
        <v>202</v>
      </c>
      <c r="D16" s="18">
        <f t="shared" si="3"/>
        <v>1</v>
      </c>
      <c r="E16" s="30"/>
      <c r="F16" s="24" t="s">
        <v>15</v>
      </c>
      <c r="G16" s="14" t="s">
        <v>22</v>
      </c>
      <c r="H16" s="24" t="s">
        <v>22</v>
      </c>
      <c r="I16" s="24" t="s">
        <v>17</v>
      </c>
      <c r="J16" s="17" t="s">
        <v>22</v>
      </c>
      <c r="K16" s="24" t="s">
        <v>12</v>
      </c>
      <c r="L16" s="14" t="s">
        <v>22</v>
      </c>
      <c r="M16" s="24" t="s">
        <v>22</v>
      </c>
      <c r="N16" s="17" t="s">
        <v>22</v>
      </c>
      <c r="O16" s="11"/>
      <c r="P16" s="57"/>
      <c r="Q16" s="33" t="s">
        <v>59</v>
      </c>
      <c r="R16" s="33" t="s">
        <v>60</v>
      </c>
      <c r="S16" s="34">
        <v>0.0</v>
      </c>
      <c r="T16" s="34" t="s">
        <v>34</v>
      </c>
    </row>
    <row r="17" ht="12.75" customHeight="1">
      <c r="B17" s="25" t="s">
        <v>35</v>
      </c>
      <c r="C17" s="26"/>
      <c r="D17" s="8">
        <f t="shared" si="3"/>
        <v>0</v>
      </c>
      <c r="E17" s="27"/>
      <c r="F17" s="28">
        <f t="shared" ref="F17:N17" si="4">COUNTIF(F10:F16,$Q$6)*$S$6+COUNTIF(F10:F16,$Q$7)*$S$7+COUNTIF(F10:F16,$Q$8)*$S$8+COUNTIF(F10:F16,$Q$9)*$S$9+COUNTIF(F10:F16,$Q$10)*$S$10+COUNTIF(F10:F16,$Q$11)*$S$11+COUNTIF(F10:F16,$Q$12)*$S$12+COUNTIF(F10:F16,$Q$13)*$S$13+COUNTIF(F10:F16,$Q$14)*$S$14+COUNTIF(F10:F16,$Q$15)*$S$15+COUNTIF(F10:F16,$Q$16)*$S$16</f>
        <v>32</v>
      </c>
      <c r="G17" s="28">
        <f t="shared" si="4"/>
        <v>30.33</v>
      </c>
      <c r="H17" s="28">
        <f t="shared" si="4"/>
        <v>41</v>
      </c>
      <c r="I17" s="28">
        <f t="shared" si="4"/>
        <v>44</v>
      </c>
      <c r="J17" s="28">
        <f t="shared" si="4"/>
        <v>31.65</v>
      </c>
      <c r="K17" s="28">
        <f t="shared" si="4"/>
        <v>46</v>
      </c>
      <c r="L17" s="28">
        <f t="shared" si="4"/>
        <v>29</v>
      </c>
      <c r="M17" s="28">
        <f t="shared" si="4"/>
        <v>20</v>
      </c>
      <c r="N17" s="28">
        <f t="shared" si="4"/>
        <v>29</v>
      </c>
      <c r="O17" s="11"/>
      <c r="P17" s="11"/>
      <c r="Q17" s="11"/>
      <c r="R17" s="11"/>
      <c r="S17" s="11"/>
      <c r="T17" s="11"/>
      <c r="U17" s="11"/>
      <c r="V17" s="11"/>
    </row>
    <row r="18" ht="12.75" customHeight="1">
      <c r="B18" s="6" t="s">
        <v>10</v>
      </c>
      <c r="C18" s="7" t="s">
        <v>203</v>
      </c>
      <c r="D18" s="8">
        <f t="shared" si="3"/>
        <v>4</v>
      </c>
      <c r="E18" s="6"/>
      <c r="F18" s="6" t="s">
        <v>204</v>
      </c>
      <c r="G18" s="6" t="s">
        <v>17</v>
      </c>
      <c r="H18" s="14" t="s">
        <v>205</v>
      </c>
      <c r="I18" s="6" t="s">
        <v>12</v>
      </c>
      <c r="J18" s="6" t="s">
        <v>16</v>
      </c>
      <c r="K18" s="6" t="s">
        <v>14</v>
      </c>
      <c r="L18" s="10" t="s">
        <v>13</v>
      </c>
      <c r="M18" s="6" t="s">
        <v>14</v>
      </c>
      <c r="N18" s="6" t="s">
        <v>15</v>
      </c>
      <c r="O18" s="11"/>
      <c r="P18" s="11"/>
      <c r="Q18" s="64"/>
      <c r="R18" s="64"/>
      <c r="S18" s="11"/>
      <c r="T18" s="11"/>
      <c r="U18" s="11"/>
      <c r="V18" s="11"/>
    </row>
    <row r="19" ht="12.75" customHeight="1">
      <c r="B19" s="12" t="s">
        <v>18</v>
      </c>
      <c r="C19" s="7" t="s">
        <v>206</v>
      </c>
      <c r="D19" s="8">
        <f t="shared" si="3"/>
        <v>5</v>
      </c>
      <c r="E19" s="6"/>
      <c r="F19" s="6" t="s">
        <v>14</v>
      </c>
      <c r="G19" s="6" t="s">
        <v>12</v>
      </c>
      <c r="H19" s="6" t="s">
        <v>14</v>
      </c>
      <c r="I19" s="15" t="s">
        <v>20</v>
      </c>
      <c r="J19" s="6" t="s">
        <v>16</v>
      </c>
      <c r="K19" s="6" t="s">
        <v>15</v>
      </c>
      <c r="L19" s="6" t="s">
        <v>14</v>
      </c>
      <c r="M19" s="6" t="s">
        <v>14</v>
      </c>
      <c r="N19" s="6" t="s">
        <v>17</v>
      </c>
      <c r="O19" s="11"/>
      <c r="P19" s="11"/>
      <c r="Q19" s="64"/>
      <c r="R19" s="64"/>
      <c r="S19" s="11"/>
      <c r="T19" s="11"/>
      <c r="U19" s="11"/>
      <c r="V19" s="11"/>
    </row>
    <row r="20" ht="12.75" customHeight="1">
      <c r="B20" s="12" t="s">
        <v>19</v>
      </c>
      <c r="C20" s="7" t="s">
        <v>207</v>
      </c>
      <c r="D20" s="8">
        <f t="shared" si="3"/>
        <v>5</v>
      </c>
      <c r="E20" s="6"/>
      <c r="F20" s="6" t="s">
        <v>15</v>
      </c>
      <c r="G20" s="10" t="s">
        <v>39</v>
      </c>
      <c r="H20" s="6" t="s">
        <v>17</v>
      </c>
      <c r="I20" s="6" t="s">
        <v>208</v>
      </c>
      <c r="J20" s="6" t="s">
        <v>16</v>
      </c>
      <c r="K20" s="6" t="s">
        <v>14</v>
      </c>
      <c r="L20" s="6" t="s">
        <v>14</v>
      </c>
      <c r="M20" s="6" t="s">
        <v>14</v>
      </c>
      <c r="N20" s="6" t="s">
        <v>12</v>
      </c>
      <c r="O20" s="11"/>
      <c r="P20" s="11"/>
      <c r="Q20" s="64"/>
      <c r="R20" s="64"/>
      <c r="S20" s="11"/>
      <c r="T20" s="11"/>
      <c r="U20" s="11"/>
      <c r="V20" s="11"/>
    </row>
    <row r="21" ht="12.75" customHeight="1">
      <c r="B21" s="12" t="s">
        <v>21</v>
      </c>
      <c r="C21" s="7" t="s">
        <v>209</v>
      </c>
      <c r="D21" s="8">
        <f t="shared" si="3"/>
        <v>4</v>
      </c>
      <c r="E21" s="6"/>
      <c r="F21" s="6" t="s">
        <v>17</v>
      </c>
      <c r="G21" s="6" t="s">
        <v>14</v>
      </c>
      <c r="H21" s="6" t="s">
        <v>12</v>
      </c>
      <c r="I21" s="15" t="s">
        <v>48</v>
      </c>
      <c r="J21" s="6" t="s">
        <v>16</v>
      </c>
      <c r="K21" s="6" t="s">
        <v>210</v>
      </c>
      <c r="L21" s="6" t="s">
        <v>15</v>
      </c>
      <c r="M21" s="6" t="s">
        <v>14</v>
      </c>
      <c r="N21" s="6" t="s">
        <v>14</v>
      </c>
      <c r="O21" s="11" t="s">
        <v>198</v>
      </c>
      <c r="P21" s="11"/>
      <c r="Q21" s="64"/>
      <c r="R21" s="64"/>
      <c r="S21" s="11"/>
      <c r="T21" s="11"/>
      <c r="U21" s="11"/>
      <c r="V21" s="11"/>
    </row>
    <row r="22" ht="12.75" customHeight="1">
      <c r="B22" s="6" t="s">
        <v>26</v>
      </c>
      <c r="C22" s="7" t="s">
        <v>211</v>
      </c>
      <c r="D22" s="8">
        <f t="shared" si="3"/>
        <v>4</v>
      </c>
      <c r="E22" s="6"/>
      <c r="F22" s="6" t="s">
        <v>12</v>
      </c>
      <c r="G22" s="6" t="s">
        <v>17</v>
      </c>
      <c r="H22" s="6" t="s">
        <v>14</v>
      </c>
      <c r="I22" s="6" t="s">
        <v>15</v>
      </c>
      <c r="J22" s="6" t="s">
        <v>16</v>
      </c>
      <c r="K22" s="11" t="s">
        <v>14</v>
      </c>
      <c r="L22" s="6" t="s">
        <v>212</v>
      </c>
      <c r="M22" s="14" t="s">
        <v>52</v>
      </c>
      <c r="N22" s="6" t="s">
        <v>14</v>
      </c>
      <c r="O22" s="11"/>
      <c r="P22" s="11"/>
      <c r="Q22" s="11"/>
      <c r="R22" s="11"/>
      <c r="S22" s="11"/>
      <c r="T22" s="11"/>
      <c r="U22" s="11"/>
      <c r="V22" s="11"/>
    </row>
    <row r="23" ht="12.75" customHeight="1">
      <c r="B23" s="24" t="s">
        <v>28</v>
      </c>
      <c r="C23" s="7" t="s">
        <v>213</v>
      </c>
      <c r="D23" s="18">
        <f t="shared" si="3"/>
        <v>3</v>
      </c>
      <c r="E23" s="17"/>
      <c r="F23" s="17" t="s">
        <v>16</v>
      </c>
      <c r="G23" s="17" t="s">
        <v>12</v>
      </c>
      <c r="H23" s="17" t="s">
        <v>14</v>
      </c>
      <c r="I23" s="17" t="s">
        <v>17</v>
      </c>
      <c r="J23" s="17" t="s">
        <v>16</v>
      </c>
      <c r="K23" s="17" t="s">
        <v>15</v>
      </c>
      <c r="L23" s="17" t="s">
        <v>14</v>
      </c>
      <c r="M23" s="17" t="s">
        <v>22</v>
      </c>
      <c r="N23" s="17" t="s">
        <v>22</v>
      </c>
      <c r="O23" s="11"/>
      <c r="P23" s="11"/>
      <c r="Q23" s="11"/>
      <c r="R23" s="11"/>
      <c r="S23" s="11"/>
      <c r="T23" s="11"/>
      <c r="U23" s="11"/>
      <c r="V23" s="11"/>
    </row>
    <row r="24" ht="12.75" customHeight="1">
      <c r="B24" s="24" t="s">
        <v>32</v>
      </c>
      <c r="C24" s="7" t="s">
        <v>214</v>
      </c>
      <c r="D24" s="18">
        <f t="shared" si="3"/>
        <v>1</v>
      </c>
      <c r="E24" s="30"/>
      <c r="F24" s="17" t="s">
        <v>22</v>
      </c>
      <c r="G24" s="17" t="s">
        <v>22</v>
      </c>
      <c r="H24" s="17" t="s">
        <v>15</v>
      </c>
      <c r="I24" s="17" t="s">
        <v>12</v>
      </c>
      <c r="J24" s="17" t="s">
        <v>22</v>
      </c>
      <c r="K24" s="17" t="s">
        <v>22</v>
      </c>
      <c r="L24" s="17" t="s">
        <v>17</v>
      </c>
      <c r="M24" s="17" t="s">
        <v>22</v>
      </c>
      <c r="N24" s="17" t="s">
        <v>22</v>
      </c>
      <c r="O24" s="11"/>
      <c r="P24" s="11"/>
      <c r="Q24" s="11"/>
      <c r="R24" s="11"/>
      <c r="S24" s="11"/>
      <c r="T24" s="11"/>
      <c r="U24" s="11"/>
      <c r="V24" s="11"/>
    </row>
    <row r="25" ht="12.75" customHeight="1">
      <c r="B25" s="25" t="s">
        <v>35</v>
      </c>
      <c r="C25" s="26"/>
      <c r="D25" s="8">
        <f t="shared" si="3"/>
        <v>0</v>
      </c>
      <c r="E25" s="27"/>
      <c r="F25" s="28">
        <f t="shared" ref="F25:N25" si="5">COUNTIF(F18:F24,$Q$6)*$S$6+COUNTIF(F18:F24,$Q$7)*$S$7+COUNTIF(F18:F24,$Q$8)*$S$8+COUNTIF(F18:F24,$Q$9)*$S$9+COUNTIF(F18:F24,$Q$10)*$S$10+COUNTIF(F18:F24,$Q$11)*$S$11+COUNTIF(F18:F24,$Q$12)*$S$12+COUNTIF(F18:F24,$Q$13)*$S$13+COUNTIF(F18:F24,$Q$14)*$S$14+COUNTIF(F18:F24,$Q$15)*$S$15+COUNTIF(F18:F24,$Q$16)*$S$16</f>
        <v>35.33</v>
      </c>
      <c r="G25" s="28">
        <f t="shared" si="5"/>
        <v>36</v>
      </c>
      <c r="H25" s="28">
        <f t="shared" si="5"/>
        <v>39</v>
      </c>
      <c r="I25" s="28">
        <f t="shared" si="5"/>
        <v>39</v>
      </c>
      <c r="J25" s="28">
        <f t="shared" si="5"/>
        <v>37.98</v>
      </c>
      <c r="K25" s="28">
        <f t="shared" si="5"/>
        <v>39</v>
      </c>
      <c r="L25" s="28">
        <f t="shared" si="5"/>
        <v>45</v>
      </c>
      <c r="M25" s="28">
        <f t="shared" si="5"/>
        <v>26.33</v>
      </c>
      <c r="N25" s="28">
        <f t="shared" si="5"/>
        <v>34</v>
      </c>
      <c r="O25" s="57"/>
    </row>
    <row r="26" ht="12.75" customHeight="1">
      <c r="B26" s="6" t="s">
        <v>10</v>
      </c>
      <c r="C26" s="7" t="s">
        <v>215</v>
      </c>
      <c r="D26" s="8">
        <f t="shared" si="3"/>
        <v>4</v>
      </c>
      <c r="E26" s="9"/>
      <c r="F26" s="6" t="s">
        <v>16</v>
      </c>
      <c r="G26" s="6" t="s">
        <v>14</v>
      </c>
      <c r="H26" s="14" t="s">
        <v>216</v>
      </c>
      <c r="I26" s="41" t="s">
        <v>217</v>
      </c>
      <c r="J26" s="6" t="s">
        <v>17</v>
      </c>
      <c r="K26" s="6" t="s">
        <v>14</v>
      </c>
      <c r="L26" s="6" t="s">
        <v>12</v>
      </c>
      <c r="M26" s="6" t="s">
        <v>14</v>
      </c>
      <c r="N26" s="6" t="s">
        <v>15</v>
      </c>
      <c r="O26" s="11"/>
    </row>
    <row r="27" ht="12.75" customHeight="1">
      <c r="B27" s="6" t="s">
        <v>18</v>
      </c>
      <c r="C27" s="7" t="s">
        <v>218</v>
      </c>
      <c r="D27" s="8">
        <f t="shared" si="3"/>
        <v>5</v>
      </c>
      <c r="E27" s="9"/>
      <c r="F27" s="6" t="s">
        <v>16</v>
      </c>
      <c r="G27" s="6" t="s">
        <v>17</v>
      </c>
      <c r="H27" s="6" t="s">
        <v>14</v>
      </c>
      <c r="I27" s="15" t="s">
        <v>20</v>
      </c>
      <c r="J27" s="6" t="s">
        <v>12</v>
      </c>
      <c r="K27" s="6" t="s">
        <v>15</v>
      </c>
      <c r="L27" s="6" t="s">
        <v>14</v>
      </c>
      <c r="M27" s="6" t="s">
        <v>14</v>
      </c>
      <c r="N27" s="10" t="s">
        <v>13</v>
      </c>
      <c r="O27" s="11"/>
    </row>
    <row r="28" ht="12.75" customHeight="1">
      <c r="B28" s="12" t="s">
        <v>19</v>
      </c>
      <c r="C28" s="7" t="s">
        <v>219</v>
      </c>
      <c r="D28" s="8">
        <f t="shared" si="3"/>
        <v>5</v>
      </c>
      <c r="E28" s="13"/>
      <c r="F28" s="39" t="s">
        <v>16</v>
      </c>
      <c r="G28" s="6" t="s">
        <v>12</v>
      </c>
      <c r="H28" s="39" t="s">
        <v>14</v>
      </c>
      <c r="I28" s="39" t="s">
        <v>17</v>
      </c>
      <c r="J28" s="39" t="s">
        <v>220</v>
      </c>
      <c r="K28" s="6" t="s">
        <v>14</v>
      </c>
      <c r="L28" s="39" t="s">
        <v>15</v>
      </c>
      <c r="M28" s="6" t="s">
        <v>14</v>
      </c>
      <c r="N28" s="6" t="s">
        <v>14</v>
      </c>
      <c r="O28" s="11"/>
    </row>
    <row r="29" ht="12.75" customHeight="1">
      <c r="B29" s="6" t="s">
        <v>21</v>
      </c>
      <c r="C29" s="7" t="s">
        <v>221</v>
      </c>
      <c r="D29" s="8">
        <f t="shared" si="3"/>
        <v>4</v>
      </c>
      <c r="E29" s="21"/>
      <c r="F29" s="41" t="s">
        <v>16</v>
      </c>
      <c r="G29" s="10" t="s">
        <v>39</v>
      </c>
      <c r="H29" s="41" t="s">
        <v>15</v>
      </c>
      <c r="I29" s="41" t="s">
        <v>12</v>
      </c>
      <c r="J29" s="41" t="s">
        <v>14</v>
      </c>
      <c r="K29" s="15" t="s">
        <v>48</v>
      </c>
      <c r="L29" s="41" t="s">
        <v>17</v>
      </c>
      <c r="M29" s="6" t="s">
        <v>14</v>
      </c>
      <c r="N29" s="14" t="s">
        <v>22</v>
      </c>
      <c r="O29" s="11" t="s">
        <v>198</v>
      </c>
    </row>
    <row r="30" ht="12.75" customHeight="1">
      <c r="B30" s="6" t="s">
        <v>26</v>
      </c>
      <c r="C30" s="7" t="s">
        <v>222</v>
      </c>
      <c r="D30" s="8">
        <f t="shared" si="3"/>
        <v>5</v>
      </c>
      <c r="E30" s="21"/>
      <c r="F30" s="41" t="s">
        <v>16</v>
      </c>
      <c r="G30" s="6" t="s">
        <v>15</v>
      </c>
      <c r="H30" s="41" t="s">
        <v>14</v>
      </c>
      <c r="I30" s="11" t="s">
        <v>14</v>
      </c>
      <c r="J30" s="41" t="s">
        <v>14</v>
      </c>
      <c r="K30" s="6" t="s">
        <v>17</v>
      </c>
      <c r="L30" s="41" t="s">
        <v>12</v>
      </c>
      <c r="M30" s="6" t="s">
        <v>14</v>
      </c>
      <c r="N30" s="14" t="s">
        <v>22</v>
      </c>
      <c r="O30" s="11"/>
    </row>
    <row r="31" ht="12.75" customHeight="1">
      <c r="B31" s="24" t="s">
        <v>28</v>
      </c>
      <c r="C31" s="7" t="s">
        <v>223</v>
      </c>
      <c r="D31" s="18">
        <f t="shared" si="3"/>
        <v>2</v>
      </c>
      <c r="E31" s="19"/>
      <c r="F31" s="43" t="s">
        <v>16</v>
      </c>
      <c r="G31" s="17" t="s">
        <v>22</v>
      </c>
      <c r="H31" s="43" t="s">
        <v>17</v>
      </c>
      <c r="I31" s="43" t="s">
        <v>14</v>
      </c>
      <c r="J31" s="43" t="s">
        <v>15</v>
      </c>
      <c r="K31" s="17" t="s">
        <v>12</v>
      </c>
      <c r="L31" s="43" t="s">
        <v>16</v>
      </c>
      <c r="M31" s="43" t="s">
        <v>22</v>
      </c>
      <c r="N31" s="17" t="s">
        <v>22</v>
      </c>
      <c r="O31" s="57"/>
    </row>
    <row r="32" ht="12.75" customHeight="1">
      <c r="B32" s="24" t="s">
        <v>32</v>
      </c>
      <c r="C32" s="7" t="s">
        <v>224</v>
      </c>
      <c r="D32" s="18">
        <f t="shared" si="3"/>
        <v>1</v>
      </c>
      <c r="E32" s="19"/>
      <c r="F32" s="43" t="s">
        <v>22</v>
      </c>
      <c r="G32" s="43" t="s">
        <v>22</v>
      </c>
      <c r="H32" s="43" t="s">
        <v>12</v>
      </c>
      <c r="I32" s="43" t="s">
        <v>15</v>
      </c>
      <c r="J32" s="43" t="s">
        <v>17</v>
      </c>
      <c r="K32" s="43" t="s">
        <v>22</v>
      </c>
      <c r="L32" s="42" t="s">
        <v>22</v>
      </c>
      <c r="M32" s="43" t="s">
        <v>22</v>
      </c>
      <c r="N32" s="17" t="s">
        <v>22</v>
      </c>
      <c r="O32" s="11"/>
    </row>
    <row r="33" ht="12.75" customHeight="1">
      <c r="B33" s="25" t="s">
        <v>35</v>
      </c>
      <c r="C33" s="26"/>
      <c r="D33" s="8">
        <f t="shared" si="3"/>
        <v>0</v>
      </c>
      <c r="E33" s="27"/>
      <c r="F33" s="28">
        <f t="shared" ref="F33:N33" si="6">COUNTIF(F26:F32,$Q$6)*$S$6+COUNTIF(F26:F32,$Q$7)*$S$7+COUNTIF(F26:F32,$Q$8)*$S$8+COUNTIF(F26:F32,$Q$9)*$S$9+COUNTIF(F26:F32,$Q$10)*$S$10+COUNTIF(F26:F32,$Q$11)*$S$11+COUNTIF(F26:F32,$Q$12)*$S$12+COUNTIF(F26:F32,$Q$13)*$S$13+COUNTIF(F26:F32,$Q$14)*$S$14+COUNTIF(F26:F32,$Q$15)*$S$15+COUNTIF(F26:F32,$Q$16)*$S$16</f>
        <v>37.98</v>
      </c>
      <c r="G33" s="28">
        <f t="shared" si="6"/>
        <v>36</v>
      </c>
      <c r="H33" s="28">
        <f t="shared" si="6"/>
        <v>39</v>
      </c>
      <c r="I33" s="28">
        <f t="shared" si="6"/>
        <v>39</v>
      </c>
      <c r="J33" s="28">
        <f t="shared" si="6"/>
        <v>46</v>
      </c>
      <c r="K33" s="28">
        <f t="shared" si="6"/>
        <v>44</v>
      </c>
      <c r="L33" s="28">
        <f t="shared" si="6"/>
        <v>35.33</v>
      </c>
      <c r="M33" s="28">
        <f t="shared" si="6"/>
        <v>25</v>
      </c>
      <c r="N33" s="28">
        <f t="shared" si="6"/>
        <v>23</v>
      </c>
      <c r="O33" s="11"/>
    </row>
    <row r="34" ht="12.75" customHeight="1">
      <c r="B34" s="6" t="s">
        <v>10</v>
      </c>
      <c r="C34" s="7" t="s">
        <v>225</v>
      </c>
      <c r="D34" s="8">
        <f t="shared" si="3"/>
        <v>5</v>
      </c>
      <c r="E34" s="9"/>
      <c r="F34" s="6" t="s">
        <v>17</v>
      </c>
      <c r="G34" s="6" t="s">
        <v>14</v>
      </c>
      <c r="H34" s="10" t="s">
        <v>13</v>
      </c>
      <c r="I34" s="6" t="s">
        <v>226</v>
      </c>
      <c r="J34" s="6" t="s">
        <v>12</v>
      </c>
      <c r="K34" s="6" t="s">
        <v>14</v>
      </c>
      <c r="L34" s="6" t="s">
        <v>16</v>
      </c>
      <c r="M34" s="6" t="s">
        <v>14</v>
      </c>
      <c r="N34" s="6" t="s">
        <v>15</v>
      </c>
      <c r="O34" s="11"/>
      <c r="Q34" s="45"/>
      <c r="R34" s="45"/>
    </row>
    <row r="35" ht="12.75" customHeight="1">
      <c r="B35" s="6" t="s">
        <v>18</v>
      </c>
      <c r="C35" s="7" t="s">
        <v>227</v>
      </c>
      <c r="D35" s="8">
        <f t="shared" si="3"/>
        <v>4</v>
      </c>
      <c r="E35" s="9"/>
      <c r="F35" s="6" t="s">
        <v>12</v>
      </c>
      <c r="G35" s="6" t="s">
        <v>15</v>
      </c>
      <c r="H35" s="6" t="s">
        <v>14</v>
      </c>
      <c r="I35" s="6" t="s">
        <v>14</v>
      </c>
      <c r="J35" s="6" t="s">
        <v>228</v>
      </c>
      <c r="K35" s="15" t="s">
        <v>20</v>
      </c>
      <c r="L35" s="6" t="s">
        <v>16</v>
      </c>
      <c r="M35" s="6" t="s">
        <v>14</v>
      </c>
      <c r="N35" s="6" t="s">
        <v>17</v>
      </c>
      <c r="O35" s="55"/>
      <c r="Q35" s="45"/>
      <c r="R35" s="45"/>
    </row>
    <row r="36" ht="12.75" customHeight="1">
      <c r="B36" s="12" t="s">
        <v>19</v>
      </c>
      <c r="C36" s="7" t="s">
        <v>229</v>
      </c>
      <c r="D36" s="8">
        <f t="shared" si="3"/>
        <v>5</v>
      </c>
      <c r="E36" s="13"/>
      <c r="F36" s="39" t="s">
        <v>14</v>
      </c>
      <c r="G36" s="6" t="s">
        <v>14</v>
      </c>
      <c r="H36" s="39" t="s">
        <v>230</v>
      </c>
      <c r="I36" s="39" t="s">
        <v>15</v>
      </c>
      <c r="J36" s="61" t="s">
        <v>39</v>
      </c>
      <c r="K36" s="6" t="s">
        <v>17</v>
      </c>
      <c r="L36" s="39" t="s">
        <v>16</v>
      </c>
      <c r="M36" s="6" t="s">
        <v>14</v>
      </c>
      <c r="N36" s="6" t="s">
        <v>12</v>
      </c>
      <c r="O36" s="11"/>
      <c r="Q36" s="45"/>
      <c r="R36" s="45"/>
    </row>
    <row r="37" ht="12.75" customHeight="1">
      <c r="B37" s="6" t="s">
        <v>21</v>
      </c>
      <c r="C37" s="7" t="s">
        <v>231</v>
      </c>
      <c r="D37" s="8">
        <f t="shared" si="3"/>
        <v>5</v>
      </c>
      <c r="E37" s="21"/>
      <c r="F37" s="41" t="s">
        <v>14</v>
      </c>
      <c r="G37" s="6" t="s">
        <v>17</v>
      </c>
      <c r="H37" s="39" t="s">
        <v>14</v>
      </c>
      <c r="I37" s="40" t="s">
        <v>48</v>
      </c>
      <c r="J37" s="41" t="s">
        <v>15</v>
      </c>
      <c r="K37" s="6" t="s">
        <v>12</v>
      </c>
      <c r="L37" s="41" t="s">
        <v>16</v>
      </c>
      <c r="M37" s="6" t="s">
        <v>14</v>
      </c>
      <c r="N37" s="6" t="s">
        <v>14</v>
      </c>
      <c r="O37" s="11" t="s">
        <v>198</v>
      </c>
      <c r="Q37" s="45"/>
      <c r="R37" s="45"/>
    </row>
    <row r="38" ht="12.75" customHeight="1">
      <c r="B38" s="17" t="s">
        <v>26</v>
      </c>
      <c r="C38" s="7" t="s">
        <v>232</v>
      </c>
      <c r="D38" s="18">
        <f t="shared" si="3"/>
        <v>1</v>
      </c>
      <c r="E38" s="19"/>
      <c r="F38" s="43" t="s">
        <v>15</v>
      </c>
      <c r="G38" s="17" t="s">
        <v>12</v>
      </c>
      <c r="H38" s="43" t="s">
        <v>22</v>
      </c>
      <c r="I38" s="42" t="s">
        <v>17</v>
      </c>
      <c r="J38" s="43" t="s">
        <v>22</v>
      </c>
      <c r="K38" s="17" t="s">
        <v>22</v>
      </c>
      <c r="L38" s="43" t="s">
        <v>16</v>
      </c>
      <c r="M38" s="17" t="s">
        <v>22</v>
      </c>
      <c r="N38" s="17" t="s">
        <v>22</v>
      </c>
      <c r="O38" s="55"/>
      <c r="Q38" s="45"/>
      <c r="R38" s="45"/>
    </row>
    <row r="39" ht="12.75" customHeight="1">
      <c r="B39" s="24" t="s">
        <v>28</v>
      </c>
      <c r="C39" s="7" t="s">
        <v>233</v>
      </c>
      <c r="D39" s="18">
        <f t="shared" si="3"/>
        <v>3</v>
      </c>
      <c r="E39" s="19"/>
      <c r="F39" s="43" t="s">
        <v>22</v>
      </c>
      <c r="G39" s="17" t="s">
        <v>16</v>
      </c>
      <c r="H39" s="43" t="s">
        <v>17</v>
      </c>
      <c r="I39" s="43" t="s">
        <v>12</v>
      </c>
      <c r="J39" s="43" t="s">
        <v>14</v>
      </c>
      <c r="K39" s="17" t="s">
        <v>15</v>
      </c>
      <c r="L39" s="43" t="s">
        <v>16</v>
      </c>
      <c r="M39" s="43" t="s">
        <v>22</v>
      </c>
      <c r="N39" s="17" t="s">
        <v>14</v>
      </c>
      <c r="Q39" s="16"/>
      <c r="R39" s="16"/>
    </row>
    <row r="40" ht="12.75" customHeight="1">
      <c r="B40" s="24" t="s">
        <v>32</v>
      </c>
      <c r="C40" s="7" t="s">
        <v>234</v>
      </c>
      <c r="D40" s="18">
        <f t="shared" si="3"/>
        <v>1</v>
      </c>
      <c r="E40" s="19"/>
      <c r="F40" s="43" t="s">
        <v>22</v>
      </c>
      <c r="G40" s="43" t="s">
        <v>22</v>
      </c>
      <c r="H40" s="43" t="s">
        <v>12</v>
      </c>
      <c r="I40" s="43" t="s">
        <v>22</v>
      </c>
      <c r="J40" s="43" t="s">
        <v>15</v>
      </c>
      <c r="K40" s="43" t="s">
        <v>22</v>
      </c>
      <c r="L40" s="42" t="s">
        <v>22</v>
      </c>
      <c r="M40" s="43" t="s">
        <v>22</v>
      </c>
      <c r="N40" s="17" t="s">
        <v>17</v>
      </c>
      <c r="Q40" s="16"/>
      <c r="R40" s="16"/>
    </row>
    <row r="41" ht="12.75" customHeight="1">
      <c r="B41" s="25" t="s">
        <v>35</v>
      </c>
      <c r="C41" s="26"/>
      <c r="D41" s="8"/>
      <c r="E41" s="27"/>
      <c r="F41" s="28">
        <f t="shared" ref="F41:N41" si="7">COUNTIF(F34:F40,$Q$6)*$S$6+COUNTIF(F34:F40,$Q$7)*$S$7+COUNTIF(F34:F40,$Q$8)*$S$8+COUNTIF(F34:F40,$Q$9)*$S$9+COUNTIF(F34:F40,$Q$10)*$S$10+COUNTIF(F34:F40,$Q$11)*$S$11+COUNTIF(F34:F40,$Q$12)*$S$12+COUNTIF(F34:F40,$Q$13)*$S$13+COUNTIF(F34:F40,$Q$14)*$S$14+COUNTIF(F34:F40,$Q$15)*$S$15+COUNTIF(F34:F40,$Q$16)*$S$16</f>
        <v>34</v>
      </c>
      <c r="G41" s="28">
        <f t="shared" si="7"/>
        <v>40.33</v>
      </c>
      <c r="H41" s="28">
        <f t="shared" si="7"/>
        <v>28</v>
      </c>
      <c r="I41" s="28">
        <f t="shared" si="7"/>
        <v>39</v>
      </c>
      <c r="J41" s="28">
        <f t="shared" si="7"/>
        <v>36</v>
      </c>
      <c r="K41" s="28">
        <f t="shared" si="7"/>
        <v>34</v>
      </c>
      <c r="L41" s="28">
        <f t="shared" si="7"/>
        <v>37.98</v>
      </c>
      <c r="M41" s="28">
        <f t="shared" si="7"/>
        <v>20</v>
      </c>
      <c r="N41" s="28">
        <f t="shared" si="7"/>
        <v>46</v>
      </c>
      <c r="Q41" s="16"/>
      <c r="R41" s="16"/>
    </row>
    <row r="42" ht="12.75" customHeight="1">
      <c r="B42" s="50" t="s">
        <v>92</v>
      </c>
      <c r="C42" s="26"/>
      <c r="D42" s="51" t="s">
        <v>235</v>
      </c>
      <c r="E42" s="26"/>
      <c r="F42" s="29">
        <f t="shared" ref="F42:N42" si="8">(F9+F17+F25+F33+F33+F41)</f>
        <v>209.29</v>
      </c>
      <c r="G42" s="29">
        <f t="shared" si="8"/>
        <v>222.66</v>
      </c>
      <c r="H42" s="29">
        <f t="shared" si="8"/>
        <v>221</v>
      </c>
      <c r="I42" s="29">
        <f t="shared" si="8"/>
        <v>241</v>
      </c>
      <c r="J42" s="29">
        <f t="shared" si="8"/>
        <v>239.96</v>
      </c>
      <c r="K42" s="29">
        <f t="shared" si="8"/>
        <v>244</v>
      </c>
      <c r="L42" s="29">
        <f t="shared" si="8"/>
        <v>223.64</v>
      </c>
      <c r="M42" s="29">
        <f t="shared" si="8"/>
        <v>151.65</v>
      </c>
      <c r="N42" s="29">
        <f t="shared" si="8"/>
        <v>155</v>
      </c>
      <c r="Q42" s="16"/>
      <c r="R42" s="16"/>
    </row>
    <row r="43" ht="12.75" customHeight="1">
      <c r="B43" s="57"/>
      <c r="C43" s="57"/>
      <c r="D43" s="57"/>
      <c r="E43" s="57"/>
      <c r="F43" s="54" t="s">
        <v>1</v>
      </c>
      <c r="G43" s="54" t="s">
        <v>2</v>
      </c>
      <c r="H43" s="54" t="s">
        <v>3</v>
      </c>
      <c r="I43" s="54" t="s">
        <v>4</v>
      </c>
      <c r="J43" s="54" t="s">
        <v>5</v>
      </c>
      <c r="K43" s="54" t="s">
        <v>6</v>
      </c>
      <c r="L43" s="54" t="s">
        <v>7</v>
      </c>
      <c r="M43" s="54" t="s">
        <v>9</v>
      </c>
      <c r="N43" s="54" t="s">
        <v>8</v>
      </c>
      <c r="Q43" s="16"/>
      <c r="R43" s="16"/>
    </row>
    <row r="44" ht="12.75" customHeight="1">
      <c r="Q44" s="16"/>
      <c r="R44" s="16"/>
    </row>
    <row r="45" ht="12.75" customHeight="1">
      <c r="E45" s="55" t="s">
        <v>15</v>
      </c>
      <c r="F45" s="55">
        <v>2.0</v>
      </c>
      <c r="G45" s="55">
        <v>4.0</v>
      </c>
      <c r="H45" s="55">
        <v>5.0</v>
      </c>
      <c r="I45" s="55">
        <v>5.0</v>
      </c>
      <c r="J45" s="55">
        <v>2.0</v>
      </c>
      <c r="K45" s="55">
        <v>4.0</v>
      </c>
      <c r="L45" s="55">
        <v>4.0</v>
      </c>
      <c r="M45" s="55" t="s">
        <v>22</v>
      </c>
      <c r="N45" s="55">
        <v>4.0</v>
      </c>
      <c r="Q45" s="16"/>
      <c r="R45" s="16"/>
    </row>
    <row r="46" ht="12.75" customHeight="1">
      <c r="E46" s="55" t="s">
        <v>17</v>
      </c>
      <c r="F46" s="55">
        <v>3.0</v>
      </c>
      <c r="G46" s="55">
        <v>5.0</v>
      </c>
      <c r="H46" s="55">
        <v>4.0</v>
      </c>
      <c r="I46" s="55">
        <v>4.0</v>
      </c>
      <c r="J46" s="55">
        <v>3.0</v>
      </c>
      <c r="K46" s="55">
        <v>4.0</v>
      </c>
      <c r="L46" s="55">
        <v>4.0</v>
      </c>
      <c r="M46" s="55" t="s">
        <v>22</v>
      </c>
      <c r="N46" s="55">
        <v>3.0</v>
      </c>
      <c r="Q46" s="16"/>
      <c r="R46" s="16"/>
    </row>
    <row r="47" ht="12.75" customHeight="1">
      <c r="Q47" s="16"/>
      <c r="R47" s="16"/>
    </row>
    <row r="48" ht="12.75" customHeight="1">
      <c r="Q48" s="16"/>
      <c r="R48" s="16"/>
    </row>
    <row r="49" ht="12.75" customHeight="1">
      <c r="Q49" s="16"/>
      <c r="R49" s="16"/>
    </row>
    <row r="50" ht="12.75" customHeight="1">
      <c r="Q50" s="16"/>
      <c r="R50" s="16"/>
    </row>
    <row r="51" ht="12.75" customHeight="1">
      <c r="A51" s="16"/>
      <c r="Q51" s="16"/>
      <c r="R51" s="16"/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B9:C9"/>
    <mergeCell ref="B17:C17"/>
    <mergeCell ref="B25:C25"/>
    <mergeCell ref="B33:C33"/>
    <mergeCell ref="B41:C41"/>
    <mergeCell ref="B42:C42"/>
    <mergeCell ref="D42:E42"/>
  </mergeCells>
  <printOptions/>
  <pageMargins bottom="0.0" footer="0.0" header="0.0" left="0.0" right="0.0" top="0.0"/>
  <pageSetup paperSize="9" orientation="portrait"/>
  <headerFooter>
    <oddHeader>&amp;Cffffff&amp;A</oddHeader>
    <oddFooter>&amp;CffffffPagina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2" width="10.0"/>
    <col customWidth="1" min="23" max="26" width="6.5"/>
  </cols>
  <sheetData>
    <row r="1" ht="12.75" customHeight="1">
      <c r="D1" s="1" t="s">
        <v>0</v>
      </c>
      <c r="E1" s="2"/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9</v>
      </c>
      <c r="N1" s="3" t="s">
        <v>8</v>
      </c>
      <c r="O1" s="5"/>
      <c r="P1" s="5"/>
      <c r="Q1" s="5"/>
      <c r="R1" s="5"/>
    </row>
    <row r="2" ht="12.75" customHeight="1">
      <c r="B2" s="6" t="s">
        <v>10</v>
      </c>
      <c r="C2" s="7" t="s">
        <v>225</v>
      </c>
      <c r="D2" s="8">
        <f t="shared" ref="D2:D40" si="1">COUNTIF(E2:N2,$Q$6)*$T$6+COUNTIF(E2:N2,$Q$7)*$T$7+COUNTIF(E2:N2,$Q$9)*$T$9+COUNTIF(E2:N2,$Q$10)*$T$10+COUNTIF(E2:N2,$Q$11)*$T$11</f>
        <v>5</v>
      </c>
      <c r="E2" s="9"/>
      <c r="F2" s="6" t="s">
        <v>17</v>
      </c>
      <c r="G2" s="6" t="s">
        <v>14</v>
      </c>
      <c r="H2" s="10" t="s">
        <v>13</v>
      </c>
      <c r="I2" s="6" t="s">
        <v>226</v>
      </c>
      <c r="J2" s="6" t="s">
        <v>12</v>
      </c>
      <c r="K2" s="6" t="s">
        <v>14</v>
      </c>
      <c r="L2" s="6" t="s">
        <v>16</v>
      </c>
      <c r="M2" s="6" t="s">
        <v>14</v>
      </c>
      <c r="N2" s="6" t="s">
        <v>15</v>
      </c>
    </row>
    <row r="3" ht="12.75" customHeight="1">
      <c r="B3" s="6" t="s">
        <v>18</v>
      </c>
      <c r="C3" s="7" t="s">
        <v>227</v>
      </c>
      <c r="D3" s="8">
        <f t="shared" si="1"/>
        <v>4</v>
      </c>
      <c r="E3" s="9"/>
      <c r="F3" s="6" t="s">
        <v>12</v>
      </c>
      <c r="G3" s="6" t="s">
        <v>15</v>
      </c>
      <c r="H3" s="6" t="s">
        <v>14</v>
      </c>
      <c r="I3" s="6" t="s">
        <v>14</v>
      </c>
      <c r="J3" s="6" t="s">
        <v>228</v>
      </c>
      <c r="K3" s="15" t="s">
        <v>20</v>
      </c>
      <c r="L3" s="6" t="s">
        <v>16</v>
      </c>
      <c r="M3" s="6" t="s">
        <v>14</v>
      </c>
      <c r="N3" s="6" t="s">
        <v>17</v>
      </c>
    </row>
    <row r="4" ht="12.75" customHeight="1">
      <c r="B4" s="12" t="s">
        <v>19</v>
      </c>
      <c r="C4" s="7" t="s">
        <v>229</v>
      </c>
      <c r="D4" s="8">
        <f t="shared" si="1"/>
        <v>5</v>
      </c>
      <c r="E4" s="13"/>
      <c r="F4" s="39" t="s">
        <v>14</v>
      </c>
      <c r="G4" s="6" t="s">
        <v>14</v>
      </c>
      <c r="H4" s="39" t="s">
        <v>230</v>
      </c>
      <c r="I4" s="39" t="s">
        <v>15</v>
      </c>
      <c r="J4" s="61" t="s">
        <v>39</v>
      </c>
      <c r="K4" s="6" t="s">
        <v>17</v>
      </c>
      <c r="L4" s="39" t="s">
        <v>16</v>
      </c>
      <c r="M4" s="6" t="s">
        <v>14</v>
      </c>
      <c r="N4" s="6" t="s">
        <v>12</v>
      </c>
      <c r="O4" s="16"/>
    </row>
    <row r="5" ht="12.75" customHeight="1">
      <c r="B5" s="12" t="s">
        <v>21</v>
      </c>
      <c r="C5" s="7" t="s">
        <v>231</v>
      </c>
      <c r="D5" s="8">
        <f t="shared" si="1"/>
        <v>5</v>
      </c>
      <c r="E5" s="21"/>
      <c r="F5" s="41" t="s">
        <v>14</v>
      </c>
      <c r="G5" s="6" t="s">
        <v>17</v>
      </c>
      <c r="H5" s="39" t="s">
        <v>14</v>
      </c>
      <c r="I5" s="40" t="s">
        <v>48</v>
      </c>
      <c r="J5" s="41" t="s">
        <v>15</v>
      </c>
      <c r="K5" s="6" t="s">
        <v>12</v>
      </c>
      <c r="L5" s="41" t="s">
        <v>16</v>
      </c>
      <c r="M5" s="6" t="s">
        <v>14</v>
      </c>
      <c r="N5" s="6" t="s">
        <v>14</v>
      </c>
      <c r="Q5" s="20" t="s">
        <v>23</v>
      </c>
      <c r="R5" s="20"/>
      <c r="S5" s="20" t="s">
        <v>24</v>
      </c>
      <c r="T5" s="20" t="s">
        <v>25</v>
      </c>
    </row>
    <row r="6" ht="12.75" customHeight="1">
      <c r="B6" s="17" t="s">
        <v>26</v>
      </c>
      <c r="C6" s="7" t="s">
        <v>232</v>
      </c>
      <c r="D6" s="18">
        <f t="shared" si="1"/>
        <v>1</v>
      </c>
      <c r="E6" s="19"/>
      <c r="F6" s="43" t="s">
        <v>15</v>
      </c>
      <c r="G6" s="17" t="s">
        <v>12</v>
      </c>
      <c r="H6" s="43" t="s">
        <v>22</v>
      </c>
      <c r="I6" s="42" t="s">
        <v>17</v>
      </c>
      <c r="J6" s="43" t="s">
        <v>22</v>
      </c>
      <c r="K6" s="17" t="s">
        <v>22</v>
      </c>
      <c r="L6" s="43" t="s">
        <v>16</v>
      </c>
      <c r="M6" s="17" t="s">
        <v>22</v>
      </c>
      <c r="N6" s="17" t="s">
        <v>22</v>
      </c>
      <c r="Q6" s="22" t="s">
        <v>14</v>
      </c>
      <c r="R6" s="22" t="s">
        <v>27</v>
      </c>
      <c r="S6" s="23">
        <v>5.0</v>
      </c>
      <c r="T6" s="23">
        <v>1.0</v>
      </c>
    </row>
    <row r="7" ht="12.75" customHeight="1">
      <c r="B7" s="24" t="s">
        <v>28</v>
      </c>
      <c r="C7" s="7" t="s">
        <v>233</v>
      </c>
      <c r="D7" s="18">
        <f t="shared" si="1"/>
        <v>3</v>
      </c>
      <c r="E7" s="19"/>
      <c r="F7" s="43" t="s">
        <v>22</v>
      </c>
      <c r="G7" s="17" t="s">
        <v>16</v>
      </c>
      <c r="H7" s="43" t="s">
        <v>17</v>
      </c>
      <c r="I7" s="43" t="s">
        <v>12</v>
      </c>
      <c r="J7" s="43" t="s">
        <v>14</v>
      </c>
      <c r="K7" s="17" t="s">
        <v>15</v>
      </c>
      <c r="L7" s="43" t="s">
        <v>16</v>
      </c>
      <c r="M7" s="43" t="s">
        <v>22</v>
      </c>
      <c r="N7" s="17" t="s">
        <v>14</v>
      </c>
      <c r="Q7" s="22" t="s">
        <v>15</v>
      </c>
      <c r="R7" s="22" t="s">
        <v>31</v>
      </c>
      <c r="S7" s="23">
        <v>12.0</v>
      </c>
      <c r="T7" s="23">
        <v>1.0</v>
      </c>
    </row>
    <row r="8" ht="12.75" customHeight="1">
      <c r="B8" s="24" t="s">
        <v>32</v>
      </c>
      <c r="C8" s="7" t="s">
        <v>234</v>
      </c>
      <c r="D8" s="18">
        <f t="shared" si="1"/>
        <v>1</v>
      </c>
      <c r="E8" s="19"/>
      <c r="F8" s="43" t="s">
        <v>22</v>
      </c>
      <c r="G8" s="43" t="s">
        <v>22</v>
      </c>
      <c r="H8" s="43" t="s">
        <v>12</v>
      </c>
      <c r="I8" s="43" t="s">
        <v>22</v>
      </c>
      <c r="J8" s="43" t="s">
        <v>15</v>
      </c>
      <c r="K8" s="43" t="s">
        <v>22</v>
      </c>
      <c r="L8" s="42" t="s">
        <v>22</v>
      </c>
      <c r="M8" s="43" t="s">
        <v>22</v>
      </c>
      <c r="N8" s="17" t="s">
        <v>17</v>
      </c>
      <c r="Q8" s="22" t="s">
        <v>17</v>
      </c>
      <c r="R8" s="22" t="s">
        <v>33</v>
      </c>
      <c r="S8" s="23">
        <v>12.0</v>
      </c>
      <c r="T8" s="22" t="s">
        <v>34</v>
      </c>
    </row>
    <row r="9" ht="12.75" customHeight="1">
      <c r="B9" s="25" t="s">
        <v>35</v>
      </c>
      <c r="C9" s="26"/>
      <c r="D9" s="8">
        <f t="shared" si="1"/>
        <v>0</v>
      </c>
      <c r="E9" s="27"/>
      <c r="F9" s="65">
        <f t="shared" ref="F9:N9" si="2">COUNTIF(F2:F8,$Q$6)*$S$6+COUNTIF(F2:F8,$Q$7)*$S$7+COUNTIF(F2:F8,$Q$8)*$S$8+COUNTIF(F2:F8,$Q$9)*$S$9+COUNTIF(F2:F8,$Q$10)*$S$10+COUNTIF(F2:F8,$Q$11)*$S$11+COUNTIF(F2:F8,$Q$12)*$S$12+COUNTIF(F2:F8,$Q$13)*$S$13+COUNTIF(F2:F8,$Q$14)*$S$14+COUNTIF(F2:F8,$Q$15)*$S$15+COUNTIF(F2:F8,$Q$16)*$S$16</f>
        <v>34</v>
      </c>
      <c r="G9" s="28">
        <f t="shared" si="2"/>
        <v>40.33</v>
      </c>
      <c r="H9" s="28">
        <f t="shared" si="2"/>
        <v>28</v>
      </c>
      <c r="I9" s="28">
        <f t="shared" si="2"/>
        <v>39</v>
      </c>
      <c r="J9" s="28">
        <f t="shared" si="2"/>
        <v>36</v>
      </c>
      <c r="K9" s="28">
        <f t="shared" si="2"/>
        <v>34</v>
      </c>
      <c r="L9" s="28">
        <f t="shared" si="2"/>
        <v>37.98</v>
      </c>
      <c r="M9" s="28">
        <f t="shared" si="2"/>
        <v>20</v>
      </c>
      <c r="N9" s="28">
        <f t="shared" si="2"/>
        <v>46</v>
      </c>
      <c r="Q9" s="22" t="s">
        <v>13</v>
      </c>
      <c r="R9" s="22" t="s">
        <v>36</v>
      </c>
      <c r="S9" s="23">
        <v>6.0</v>
      </c>
      <c r="T9" s="23">
        <v>1.0</v>
      </c>
    </row>
    <row r="10" ht="12.75" customHeight="1">
      <c r="B10" s="6" t="s">
        <v>10</v>
      </c>
      <c r="C10" s="7" t="s">
        <v>236</v>
      </c>
      <c r="D10" s="8">
        <f t="shared" si="1"/>
        <v>4</v>
      </c>
      <c r="E10" s="9"/>
      <c r="F10" s="66" t="s">
        <v>15</v>
      </c>
      <c r="G10" s="6" t="s">
        <v>16</v>
      </c>
      <c r="H10" s="10" t="s">
        <v>13</v>
      </c>
      <c r="I10" s="6" t="s">
        <v>14</v>
      </c>
      <c r="J10" s="6" t="s">
        <v>237</v>
      </c>
      <c r="K10" s="6" t="s">
        <v>22</v>
      </c>
      <c r="L10" s="6" t="s">
        <v>17</v>
      </c>
      <c r="M10" s="6" t="s">
        <v>14</v>
      </c>
      <c r="N10" s="6" t="s">
        <v>12</v>
      </c>
      <c r="O10" s="57"/>
      <c r="Q10" s="22" t="s">
        <v>39</v>
      </c>
      <c r="R10" s="22" t="s">
        <v>40</v>
      </c>
      <c r="S10" s="23">
        <v>7.0</v>
      </c>
      <c r="T10" s="23">
        <v>1.0</v>
      </c>
    </row>
    <row r="11" ht="12.75" customHeight="1">
      <c r="B11" s="12" t="s">
        <v>18</v>
      </c>
      <c r="C11" s="7" t="s">
        <v>238</v>
      </c>
      <c r="D11" s="8">
        <f t="shared" si="1"/>
        <v>4</v>
      </c>
      <c r="E11" s="9"/>
      <c r="F11" s="66" t="s">
        <v>17</v>
      </c>
      <c r="G11" s="6" t="s">
        <v>16</v>
      </c>
      <c r="H11" s="6" t="s">
        <v>14</v>
      </c>
      <c r="I11" s="15" t="s">
        <v>66</v>
      </c>
      <c r="J11" s="6" t="s">
        <v>14</v>
      </c>
      <c r="K11" s="15" t="s">
        <v>20</v>
      </c>
      <c r="L11" s="11" t="s">
        <v>12</v>
      </c>
      <c r="M11" s="6" t="s">
        <v>14</v>
      </c>
      <c r="N11" s="6" t="s">
        <v>14</v>
      </c>
      <c r="O11" s="67" t="s">
        <v>20</v>
      </c>
      <c r="Q11" s="22" t="s">
        <v>42</v>
      </c>
      <c r="R11" s="22" t="s">
        <v>43</v>
      </c>
      <c r="S11" s="23">
        <v>10.0</v>
      </c>
      <c r="T11" s="23">
        <v>1.0</v>
      </c>
    </row>
    <row r="12" ht="12.75" customHeight="1">
      <c r="B12" s="12" t="s">
        <v>19</v>
      </c>
      <c r="C12" s="7" t="s">
        <v>239</v>
      </c>
      <c r="D12" s="8">
        <f t="shared" si="1"/>
        <v>5</v>
      </c>
      <c r="E12" s="9"/>
      <c r="F12" s="14" t="s">
        <v>12</v>
      </c>
      <c r="G12" s="6" t="s">
        <v>16</v>
      </c>
      <c r="H12" s="11" t="s">
        <v>15</v>
      </c>
      <c r="I12" s="6" t="s">
        <v>17</v>
      </c>
      <c r="J12" s="10" t="s">
        <v>39</v>
      </c>
      <c r="K12" s="6" t="s">
        <v>22</v>
      </c>
      <c r="L12" s="6" t="s">
        <v>14</v>
      </c>
      <c r="M12" s="6" t="s">
        <v>14</v>
      </c>
      <c r="N12" s="6" t="s">
        <v>14</v>
      </c>
      <c r="Q12" s="22" t="s">
        <v>20</v>
      </c>
      <c r="R12" s="22" t="s">
        <v>46</v>
      </c>
      <c r="S12" s="23">
        <v>5.0</v>
      </c>
      <c r="T12" s="22" t="s">
        <v>34</v>
      </c>
    </row>
    <row r="13" ht="12.75" customHeight="1">
      <c r="B13" s="12" t="s">
        <v>21</v>
      </c>
      <c r="C13" s="7" t="s">
        <v>240</v>
      </c>
      <c r="D13" s="8">
        <f t="shared" si="1"/>
        <v>4</v>
      </c>
      <c r="E13" s="9"/>
      <c r="F13" s="14" t="s">
        <v>14</v>
      </c>
      <c r="G13" s="6" t="s">
        <v>16</v>
      </c>
      <c r="H13" s="6" t="s">
        <v>17</v>
      </c>
      <c r="I13" s="6" t="s">
        <v>12</v>
      </c>
      <c r="J13" s="6" t="s">
        <v>14</v>
      </c>
      <c r="K13" s="15" t="s">
        <v>48</v>
      </c>
      <c r="L13" s="6" t="s">
        <v>22</v>
      </c>
      <c r="M13" s="6" t="s">
        <v>14</v>
      </c>
      <c r="N13" s="6" t="s">
        <v>15</v>
      </c>
      <c r="O13" s="67" t="s">
        <v>20</v>
      </c>
      <c r="Q13" s="22" t="s">
        <v>48</v>
      </c>
      <c r="R13" s="22" t="s">
        <v>49</v>
      </c>
      <c r="S13" s="23">
        <v>10.0</v>
      </c>
      <c r="T13" s="22" t="s">
        <v>34</v>
      </c>
    </row>
    <row r="14" ht="12.75" customHeight="1">
      <c r="B14" s="12" t="s">
        <v>26</v>
      </c>
      <c r="C14" s="7" t="s">
        <v>241</v>
      </c>
      <c r="D14" s="8">
        <f t="shared" si="1"/>
        <v>4</v>
      </c>
      <c r="E14" s="9"/>
      <c r="F14" s="6" t="s">
        <v>17</v>
      </c>
      <c r="G14" s="6" t="s">
        <v>16</v>
      </c>
      <c r="H14" s="6" t="s">
        <v>12</v>
      </c>
      <c r="I14" s="11" t="s">
        <v>242</v>
      </c>
      <c r="J14" s="6" t="s">
        <v>243</v>
      </c>
      <c r="K14" s="6" t="s">
        <v>15</v>
      </c>
      <c r="L14" s="6" t="s">
        <v>14</v>
      </c>
      <c r="M14" s="6" t="s">
        <v>14</v>
      </c>
      <c r="N14" s="68" t="s">
        <v>14</v>
      </c>
      <c r="O14" s="57"/>
      <c r="Q14" s="31" t="s">
        <v>52</v>
      </c>
      <c r="R14" s="31" t="s">
        <v>53</v>
      </c>
      <c r="S14" s="32">
        <v>6.33</v>
      </c>
      <c r="T14" s="32" t="s">
        <v>34</v>
      </c>
    </row>
    <row r="15" ht="12.75" customHeight="1">
      <c r="B15" s="24" t="s">
        <v>28</v>
      </c>
      <c r="C15" s="7" t="s">
        <v>244</v>
      </c>
      <c r="D15" s="18">
        <f t="shared" si="1"/>
        <v>3</v>
      </c>
      <c r="E15" s="30"/>
      <c r="F15" s="24" t="s">
        <v>12</v>
      </c>
      <c r="G15" s="17" t="s">
        <v>16</v>
      </c>
      <c r="H15" s="24" t="s">
        <v>245</v>
      </c>
      <c r="I15" s="24" t="s">
        <v>15</v>
      </c>
      <c r="J15" s="17" t="s">
        <v>14</v>
      </c>
      <c r="K15" s="24" t="s">
        <v>17</v>
      </c>
      <c r="L15" s="24" t="s">
        <v>14</v>
      </c>
      <c r="M15" s="69" t="s">
        <v>22</v>
      </c>
      <c r="N15" s="24" t="s">
        <v>246</v>
      </c>
      <c r="Q15" s="31" t="s">
        <v>16</v>
      </c>
      <c r="R15" s="31" t="s">
        <v>57</v>
      </c>
      <c r="S15" s="32">
        <v>6.33</v>
      </c>
      <c r="T15" s="32" t="s">
        <v>34</v>
      </c>
    </row>
    <row r="16" ht="12.75" customHeight="1">
      <c r="B16" s="24" t="s">
        <v>32</v>
      </c>
      <c r="C16" s="7" t="s">
        <v>247</v>
      </c>
      <c r="D16" s="18">
        <f t="shared" si="1"/>
        <v>1</v>
      </c>
      <c r="E16" s="30"/>
      <c r="F16" s="24" t="s">
        <v>22</v>
      </c>
      <c r="G16" s="17" t="s">
        <v>22</v>
      </c>
      <c r="H16" s="24" t="s">
        <v>22</v>
      </c>
      <c r="I16" s="24" t="s">
        <v>22</v>
      </c>
      <c r="J16" s="17" t="s">
        <v>17</v>
      </c>
      <c r="K16" s="24" t="s">
        <v>12</v>
      </c>
      <c r="L16" s="17" t="s">
        <v>15</v>
      </c>
      <c r="M16" s="24" t="s">
        <v>22</v>
      </c>
      <c r="N16" s="24" t="s">
        <v>22</v>
      </c>
      <c r="Q16" s="33" t="s">
        <v>59</v>
      </c>
      <c r="R16" s="33" t="s">
        <v>60</v>
      </c>
      <c r="S16" s="34">
        <v>0.0</v>
      </c>
      <c r="T16" s="34" t="s">
        <v>34</v>
      </c>
    </row>
    <row r="17" ht="12.75" customHeight="1">
      <c r="B17" s="25" t="s">
        <v>35</v>
      </c>
      <c r="C17" s="26"/>
      <c r="D17" s="8">
        <f t="shared" si="1"/>
        <v>0</v>
      </c>
      <c r="E17" s="27"/>
      <c r="F17" s="28">
        <f t="shared" ref="F17:N17" si="3">COUNTIF(F10:F16,$Q$6)*$S$6+COUNTIF(F10:F16,$Q$7)*$S$7+COUNTIF(F10:F16,$Q$8)*$S$8+COUNTIF(F10:F16,$Q$9)*$S$9+COUNTIF(F10:F16,$Q$10)*$S$10+COUNTIF(F10:F16,$Q$11)*$S$11+COUNTIF(F10:F16,$Q$12)*$S$12+COUNTIF(F10:F16,$Q$13)*$S$13+COUNTIF(F10:F16,$Q$14)*$S$14+COUNTIF(F10:F16,$Q$15)*$S$15+COUNTIF(F10:F16,$Q$16)*$S$16</f>
        <v>41</v>
      </c>
      <c r="G17" s="28">
        <f t="shared" si="3"/>
        <v>37.98</v>
      </c>
      <c r="H17" s="28">
        <f t="shared" si="3"/>
        <v>35</v>
      </c>
      <c r="I17" s="28">
        <f t="shared" si="3"/>
        <v>29</v>
      </c>
      <c r="J17" s="28">
        <f t="shared" si="3"/>
        <v>34</v>
      </c>
      <c r="K17" s="28">
        <f t="shared" si="3"/>
        <v>39</v>
      </c>
      <c r="L17" s="28">
        <f t="shared" si="3"/>
        <v>39</v>
      </c>
      <c r="M17" s="28">
        <f t="shared" si="3"/>
        <v>25</v>
      </c>
      <c r="N17" s="28">
        <f t="shared" si="3"/>
        <v>27</v>
      </c>
      <c r="O17" s="11"/>
      <c r="P17" s="11"/>
      <c r="Q17" s="11"/>
      <c r="R17" s="11"/>
      <c r="S17" s="11"/>
      <c r="T17" s="11"/>
      <c r="U17" s="11"/>
      <c r="V17" s="11"/>
    </row>
    <row r="18" ht="12.75" customHeight="1">
      <c r="B18" s="6" t="s">
        <v>10</v>
      </c>
      <c r="C18" s="7" t="s">
        <v>248</v>
      </c>
      <c r="D18" s="8">
        <f t="shared" si="1"/>
        <v>4</v>
      </c>
      <c r="E18" s="6"/>
      <c r="F18" s="6" t="s">
        <v>14</v>
      </c>
      <c r="G18" s="6" t="s">
        <v>17</v>
      </c>
      <c r="H18" s="6" t="s">
        <v>16</v>
      </c>
      <c r="I18" s="6" t="s">
        <v>14</v>
      </c>
      <c r="J18" s="6" t="s">
        <v>12</v>
      </c>
      <c r="K18" s="6" t="s">
        <v>14</v>
      </c>
      <c r="L18" s="6" t="s">
        <v>249</v>
      </c>
      <c r="M18" s="14" t="s">
        <v>52</v>
      </c>
      <c r="N18" s="6" t="s">
        <v>15</v>
      </c>
      <c r="O18" s="11"/>
      <c r="P18" s="11"/>
      <c r="Q18" s="64"/>
      <c r="R18" s="64"/>
      <c r="S18" s="11"/>
      <c r="T18" s="11"/>
      <c r="U18" s="11"/>
      <c r="V18" s="11"/>
    </row>
    <row r="19" ht="12.75" customHeight="1">
      <c r="B19" s="12" t="s">
        <v>18</v>
      </c>
      <c r="C19" s="7" t="s">
        <v>250</v>
      </c>
      <c r="D19" s="8">
        <f t="shared" si="1"/>
        <v>4</v>
      </c>
      <c r="E19" s="6"/>
      <c r="F19" s="6" t="s">
        <v>14</v>
      </c>
      <c r="G19" s="6" t="s">
        <v>12</v>
      </c>
      <c r="H19" s="6" t="s">
        <v>16</v>
      </c>
      <c r="I19" s="15" t="s">
        <v>20</v>
      </c>
      <c r="J19" s="6" t="s">
        <v>14</v>
      </c>
      <c r="K19" s="6" t="s">
        <v>15</v>
      </c>
      <c r="L19" s="10" t="s">
        <v>13</v>
      </c>
      <c r="M19" s="14" t="s">
        <v>52</v>
      </c>
      <c r="N19" s="6" t="s">
        <v>17</v>
      </c>
      <c r="O19" s="11" t="s">
        <v>20</v>
      </c>
      <c r="P19" s="11"/>
      <c r="Q19" s="64"/>
      <c r="R19" s="64"/>
      <c r="S19" s="11"/>
      <c r="T19" s="11"/>
      <c r="U19" s="11"/>
      <c r="V19" s="11"/>
    </row>
    <row r="20" ht="12.75" customHeight="1">
      <c r="B20" s="12" t="s">
        <v>19</v>
      </c>
      <c r="C20" s="7" t="s">
        <v>251</v>
      </c>
      <c r="D20" s="8">
        <f t="shared" si="1"/>
        <v>4</v>
      </c>
      <c r="E20" s="6"/>
      <c r="F20" s="6" t="s">
        <v>14</v>
      </c>
      <c r="G20" s="6" t="s">
        <v>22</v>
      </c>
      <c r="H20" s="6" t="s">
        <v>16</v>
      </c>
      <c r="I20" s="6" t="s">
        <v>15</v>
      </c>
      <c r="J20" s="10" t="s">
        <v>39</v>
      </c>
      <c r="K20" s="15" t="s">
        <v>20</v>
      </c>
      <c r="L20" s="6" t="s">
        <v>17</v>
      </c>
      <c r="M20" s="6" t="s">
        <v>14</v>
      </c>
      <c r="N20" s="6" t="s">
        <v>12</v>
      </c>
      <c r="O20" s="11" t="s">
        <v>20</v>
      </c>
      <c r="P20" s="11"/>
      <c r="Q20" s="64"/>
      <c r="R20" s="64"/>
      <c r="S20" s="11"/>
      <c r="T20" s="11"/>
      <c r="U20" s="11"/>
      <c r="V20" s="11"/>
    </row>
    <row r="21" ht="12.75" customHeight="1">
      <c r="B21" s="12" t="s">
        <v>21</v>
      </c>
      <c r="C21" s="7" t="s">
        <v>252</v>
      </c>
      <c r="D21" s="8">
        <f t="shared" si="1"/>
        <v>4</v>
      </c>
      <c r="E21" s="6"/>
      <c r="F21" s="70" t="s">
        <v>42</v>
      </c>
      <c r="G21" s="6" t="s">
        <v>15</v>
      </c>
      <c r="H21" s="6" t="s">
        <v>16</v>
      </c>
      <c r="I21" s="6" t="s">
        <v>17</v>
      </c>
      <c r="J21" s="6" t="s">
        <v>14</v>
      </c>
      <c r="K21" s="14" t="s">
        <v>253</v>
      </c>
      <c r="L21" s="6" t="s">
        <v>12</v>
      </c>
      <c r="M21" s="14" t="s">
        <v>52</v>
      </c>
      <c r="N21" s="6" t="s">
        <v>14</v>
      </c>
      <c r="O21" s="11"/>
      <c r="P21" s="11"/>
      <c r="Q21" s="64"/>
      <c r="R21" s="64"/>
      <c r="S21" s="11"/>
      <c r="T21" s="11"/>
      <c r="U21" s="11"/>
      <c r="V21" s="11"/>
    </row>
    <row r="22" ht="12.75" customHeight="1">
      <c r="B22" s="6" t="s">
        <v>26</v>
      </c>
      <c r="C22" s="7" t="s">
        <v>254</v>
      </c>
      <c r="D22" s="8">
        <f t="shared" si="1"/>
        <v>3</v>
      </c>
      <c r="E22" s="6"/>
      <c r="F22" s="6" t="s">
        <v>255</v>
      </c>
      <c r="G22" s="6" t="s">
        <v>22</v>
      </c>
      <c r="H22" s="6" t="s">
        <v>16</v>
      </c>
      <c r="I22" s="6" t="s">
        <v>12</v>
      </c>
      <c r="J22" s="6" t="s">
        <v>15</v>
      </c>
      <c r="K22" s="6" t="s">
        <v>17</v>
      </c>
      <c r="L22" s="6" t="s">
        <v>14</v>
      </c>
      <c r="M22" s="14" t="s">
        <v>52</v>
      </c>
      <c r="N22" s="6" t="s">
        <v>14</v>
      </c>
      <c r="O22" s="11"/>
      <c r="P22" s="11"/>
      <c r="Q22" s="11"/>
      <c r="R22" s="11"/>
      <c r="S22" s="11"/>
      <c r="T22" s="11"/>
      <c r="U22" s="11"/>
      <c r="V22" s="11"/>
    </row>
    <row r="23" ht="12.75" customHeight="1">
      <c r="B23" s="24" t="s">
        <v>28</v>
      </c>
      <c r="C23" s="7" t="s">
        <v>256</v>
      </c>
      <c r="D23" s="18">
        <f t="shared" si="1"/>
        <v>3</v>
      </c>
      <c r="E23" s="17"/>
      <c r="F23" s="17" t="s">
        <v>14</v>
      </c>
      <c r="G23" s="17" t="s">
        <v>15</v>
      </c>
      <c r="H23" s="17" t="s">
        <v>16</v>
      </c>
      <c r="I23" s="17" t="s">
        <v>16</v>
      </c>
      <c r="J23" s="17" t="s">
        <v>17</v>
      </c>
      <c r="K23" s="17" t="s">
        <v>12</v>
      </c>
      <c r="L23" s="17" t="s">
        <v>14</v>
      </c>
      <c r="M23" s="14" t="s">
        <v>52</v>
      </c>
      <c r="N23" s="14" t="s">
        <v>22</v>
      </c>
      <c r="O23" s="11"/>
      <c r="P23" s="11"/>
      <c r="Q23" s="11"/>
      <c r="R23" s="11"/>
      <c r="S23" s="11"/>
      <c r="T23" s="11"/>
      <c r="U23" s="11"/>
      <c r="V23" s="11"/>
    </row>
    <row r="24" ht="12.75" customHeight="1">
      <c r="B24" s="24" t="s">
        <v>32</v>
      </c>
      <c r="C24" s="7" t="s">
        <v>257</v>
      </c>
      <c r="D24" s="18">
        <f t="shared" si="1"/>
        <v>1</v>
      </c>
      <c r="E24" s="30"/>
      <c r="F24" s="17" t="s">
        <v>15</v>
      </c>
      <c r="G24" s="17" t="s">
        <v>22</v>
      </c>
      <c r="H24" s="17" t="s">
        <v>22</v>
      </c>
      <c r="I24" s="17" t="s">
        <v>22</v>
      </c>
      <c r="J24" s="17" t="s">
        <v>12</v>
      </c>
      <c r="K24" s="17" t="s">
        <v>22</v>
      </c>
      <c r="L24" s="17" t="s">
        <v>17</v>
      </c>
      <c r="M24" s="17" t="s">
        <v>22</v>
      </c>
      <c r="N24" s="14" t="s">
        <v>22</v>
      </c>
      <c r="O24" s="11"/>
      <c r="P24" s="11"/>
      <c r="Q24" s="11"/>
      <c r="R24" s="11"/>
      <c r="S24" s="11"/>
      <c r="T24" s="11"/>
      <c r="U24" s="11"/>
      <c r="V24" s="11"/>
    </row>
    <row r="25" ht="12.75" customHeight="1">
      <c r="B25" s="25" t="s">
        <v>35</v>
      </c>
      <c r="C25" s="26"/>
      <c r="D25" s="8">
        <f t="shared" si="1"/>
        <v>0</v>
      </c>
      <c r="E25" s="27"/>
      <c r="F25" s="28">
        <f t="shared" ref="F25:N25" si="4">COUNTIF(F18:F24,$Q$6)*$S$6+COUNTIF(F18:F24,$Q$7)*$S$7+COUNTIF(F18:F24,$Q$8)*$S$8+COUNTIF(F18:F24,$Q$9)*$S$9+COUNTIF(F18:F24,$Q$10)*$S$10+COUNTIF(F18:F24,$Q$11)*$S$11+COUNTIF(F18:F24,$Q$12)*$S$12+COUNTIF(F18:F24,$Q$13)*$S$13+COUNTIF(F18:F24,$Q$14)*$S$14+COUNTIF(F18:F24,$Q$15)*$S$15+COUNTIF(F18:F24,$Q$16)*$S$16</f>
        <v>42</v>
      </c>
      <c r="G25" s="28">
        <f t="shared" si="4"/>
        <v>36</v>
      </c>
      <c r="H25" s="28">
        <f t="shared" si="4"/>
        <v>37.98</v>
      </c>
      <c r="I25" s="28">
        <f t="shared" si="4"/>
        <v>40.33</v>
      </c>
      <c r="J25" s="28">
        <f t="shared" si="4"/>
        <v>41</v>
      </c>
      <c r="K25" s="28">
        <f t="shared" si="4"/>
        <v>34</v>
      </c>
      <c r="L25" s="28">
        <f t="shared" si="4"/>
        <v>40</v>
      </c>
      <c r="M25" s="28">
        <f t="shared" si="4"/>
        <v>36.65</v>
      </c>
      <c r="N25" s="28">
        <f t="shared" si="4"/>
        <v>34</v>
      </c>
    </row>
    <row r="26" ht="12.75" customHeight="1">
      <c r="B26" s="6" t="s">
        <v>10</v>
      </c>
      <c r="C26" s="7" t="s">
        <v>258</v>
      </c>
      <c r="D26" s="8">
        <f t="shared" si="1"/>
        <v>4</v>
      </c>
      <c r="E26" s="9"/>
      <c r="F26" s="6" t="s">
        <v>259</v>
      </c>
      <c r="G26" s="6" t="s">
        <v>14</v>
      </c>
      <c r="H26" s="6" t="s">
        <v>17</v>
      </c>
      <c r="I26" s="6" t="s">
        <v>16</v>
      </c>
      <c r="J26" s="6" t="s">
        <v>14</v>
      </c>
      <c r="K26" s="15" t="s">
        <v>20</v>
      </c>
      <c r="L26" s="6" t="s">
        <v>12</v>
      </c>
      <c r="M26" s="6" t="s">
        <v>14</v>
      </c>
      <c r="N26" s="68" t="s">
        <v>15</v>
      </c>
      <c r="O26" s="67" t="s">
        <v>20</v>
      </c>
    </row>
    <row r="27" ht="12.75" customHeight="1">
      <c r="B27" s="6" t="s">
        <v>18</v>
      </c>
      <c r="C27" s="7" t="s">
        <v>260</v>
      </c>
      <c r="D27" s="8">
        <f t="shared" si="1"/>
        <v>4</v>
      </c>
      <c r="E27" s="9"/>
      <c r="F27" s="6" t="s">
        <v>14</v>
      </c>
      <c r="G27" s="6" t="s">
        <v>15</v>
      </c>
      <c r="H27" s="6" t="s">
        <v>12</v>
      </c>
      <c r="I27" s="6" t="s">
        <v>16</v>
      </c>
      <c r="J27" s="6" t="s">
        <v>261</v>
      </c>
      <c r="K27" s="15" t="s">
        <v>20</v>
      </c>
      <c r="L27" s="10" t="s">
        <v>13</v>
      </c>
      <c r="M27" s="6" t="s">
        <v>14</v>
      </c>
      <c r="N27" s="6" t="s">
        <v>17</v>
      </c>
      <c r="O27" s="57"/>
    </row>
    <row r="28" ht="12.75" customHeight="1">
      <c r="B28" s="12" t="s">
        <v>19</v>
      </c>
      <c r="C28" s="7" t="s">
        <v>262</v>
      </c>
      <c r="D28" s="8">
        <f t="shared" si="1"/>
        <v>4</v>
      </c>
      <c r="E28" s="13"/>
      <c r="F28" s="71" t="s">
        <v>20</v>
      </c>
      <c r="G28" s="6" t="s">
        <v>17</v>
      </c>
      <c r="H28" s="62" t="s">
        <v>22</v>
      </c>
      <c r="I28" s="6" t="s">
        <v>16</v>
      </c>
      <c r="J28" s="61" t="s">
        <v>39</v>
      </c>
      <c r="K28" s="6" t="s">
        <v>15</v>
      </c>
      <c r="L28" s="39" t="s">
        <v>14</v>
      </c>
      <c r="M28" s="6" t="s">
        <v>14</v>
      </c>
      <c r="N28" s="6" t="s">
        <v>12</v>
      </c>
      <c r="O28" s="67" t="s">
        <v>20</v>
      </c>
    </row>
    <row r="29" ht="12.75" customHeight="1">
      <c r="B29" s="6" t="s">
        <v>21</v>
      </c>
      <c r="C29" s="7" t="s">
        <v>263</v>
      </c>
      <c r="D29" s="8">
        <f t="shared" si="1"/>
        <v>4</v>
      </c>
      <c r="E29" s="21"/>
      <c r="F29" s="40" t="s">
        <v>48</v>
      </c>
      <c r="G29" s="6" t="s">
        <v>12</v>
      </c>
      <c r="H29" s="41" t="s">
        <v>14</v>
      </c>
      <c r="I29" s="6" t="s">
        <v>16</v>
      </c>
      <c r="J29" s="41" t="s">
        <v>15</v>
      </c>
      <c r="K29" s="6" t="s">
        <v>17</v>
      </c>
      <c r="L29" s="41" t="s">
        <v>14</v>
      </c>
      <c r="M29" s="6" t="s">
        <v>14</v>
      </c>
      <c r="N29" s="6" t="s">
        <v>264</v>
      </c>
      <c r="O29" s="67" t="s">
        <v>20</v>
      </c>
    </row>
    <row r="30" ht="12.75" customHeight="1">
      <c r="B30" s="6" t="s">
        <v>26</v>
      </c>
      <c r="C30" s="7" t="s">
        <v>265</v>
      </c>
      <c r="D30" s="8">
        <f t="shared" si="1"/>
        <v>4</v>
      </c>
      <c r="E30" s="21"/>
      <c r="F30" s="41" t="s">
        <v>14</v>
      </c>
      <c r="G30" s="6" t="s">
        <v>266</v>
      </c>
      <c r="H30" s="41" t="s">
        <v>14</v>
      </c>
      <c r="I30" s="6" t="s">
        <v>16</v>
      </c>
      <c r="J30" s="41" t="s">
        <v>17</v>
      </c>
      <c r="K30" s="6" t="s">
        <v>12</v>
      </c>
      <c r="L30" s="41" t="s">
        <v>15</v>
      </c>
      <c r="M30" s="6" t="s">
        <v>14</v>
      </c>
      <c r="N30" s="6" t="s">
        <v>264</v>
      </c>
    </row>
    <row r="31" ht="12.75" customHeight="1">
      <c r="B31" s="24" t="s">
        <v>28</v>
      </c>
      <c r="C31" s="7" t="s">
        <v>267</v>
      </c>
      <c r="D31" s="18">
        <f t="shared" si="1"/>
        <v>2</v>
      </c>
      <c r="E31" s="19"/>
      <c r="F31" s="43" t="s">
        <v>14</v>
      </c>
      <c r="G31" s="17" t="s">
        <v>17</v>
      </c>
      <c r="H31" s="43" t="s">
        <v>15</v>
      </c>
      <c r="I31" s="17" t="s">
        <v>16</v>
      </c>
      <c r="J31" s="43" t="s">
        <v>12</v>
      </c>
      <c r="K31" s="14" t="s">
        <v>16</v>
      </c>
      <c r="L31" s="42" t="s">
        <v>22</v>
      </c>
      <c r="M31" s="72" t="s">
        <v>22</v>
      </c>
      <c r="N31" s="17" t="s">
        <v>264</v>
      </c>
    </row>
    <row r="32" ht="12.75" customHeight="1">
      <c r="B32" s="24" t="s">
        <v>32</v>
      </c>
      <c r="C32" s="7" t="s">
        <v>268</v>
      </c>
      <c r="D32" s="18">
        <f t="shared" si="1"/>
        <v>0</v>
      </c>
      <c r="E32" s="19"/>
      <c r="F32" s="43" t="s">
        <v>17</v>
      </c>
      <c r="G32" s="43" t="s">
        <v>12</v>
      </c>
      <c r="H32" s="43" t="s">
        <v>22</v>
      </c>
      <c r="I32" s="17" t="s">
        <v>22</v>
      </c>
      <c r="J32" s="43" t="s">
        <v>22</v>
      </c>
      <c r="K32" s="24" t="s">
        <v>22</v>
      </c>
      <c r="L32" s="43" t="s">
        <v>22</v>
      </c>
      <c r="M32" s="43" t="s">
        <v>22</v>
      </c>
      <c r="N32" s="17" t="s">
        <v>264</v>
      </c>
    </row>
    <row r="33" ht="12.75" customHeight="1">
      <c r="B33" s="25" t="s">
        <v>35</v>
      </c>
      <c r="C33" s="26"/>
      <c r="D33" s="8">
        <f t="shared" si="1"/>
        <v>0</v>
      </c>
      <c r="E33" s="27"/>
      <c r="F33" s="28">
        <f t="shared" ref="F33:N33" si="5">COUNTIF(F26:F32,$Q$6)*$S$6+COUNTIF(F26:F32,$Q$7)*$S$7+COUNTIF(F26:F32,$Q$8)*$S$8+COUNTIF(F26:F32,$Q$9)*$S$9+COUNTIF(F26:F32,$Q$10)*$S$10+COUNTIF(F26:F32,$Q$11)*$S$11+COUNTIF(F26:F32,$Q$12)*$S$12+COUNTIF(F26:F32,$Q$13)*$S$13+COUNTIF(F26:F32,$Q$14)*$S$14+COUNTIF(F26:F32,$Q$15)*$S$15+COUNTIF(F26:F32,$Q$16)*$S$16</f>
        <v>42</v>
      </c>
      <c r="G33" s="28">
        <f t="shared" si="5"/>
        <v>41</v>
      </c>
      <c r="H33" s="28">
        <f t="shared" si="5"/>
        <v>34</v>
      </c>
      <c r="I33" s="28">
        <f t="shared" si="5"/>
        <v>37.98</v>
      </c>
      <c r="J33" s="28">
        <f t="shared" si="5"/>
        <v>36</v>
      </c>
      <c r="K33" s="28">
        <f t="shared" si="5"/>
        <v>40.33</v>
      </c>
      <c r="L33" s="28">
        <f t="shared" si="5"/>
        <v>28</v>
      </c>
      <c r="M33" s="28">
        <f t="shared" si="5"/>
        <v>25</v>
      </c>
      <c r="N33" s="28">
        <f t="shared" si="5"/>
        <v>24</v>
      </c>
    </row>
    <row r="34" ht="12.75" customHeight="1">
      <c r="B34" s="6" t="s">
        <v>10</v>
      </c>
      <c r="C34" s="7" t="s">
        <v>269</v>
      </c>
      <c r="D34" s="8">
        <f t="shared" si="1"/>
        <v>4</v>
      </c>
      <c r="E34" s="9"/>
      <c r="F34" s="6" t="s">
        <v>12</v>
      </c>
      <c r="G34" s="6" t="s">
        <v>270</v>
      </c>
      <c r="H34" s="10" t="s">
        <v>13</v>
      </c>
      <c r="I34" s="6" t="s">
        <v>17</v>
      </c>
      <c r="J34" s="6" t="s">
        <v>14</v>
      </c>
      <c r="K34" s="6" t="s">
        <v>16</v>
      </c>
      <c r="L34" s="6" t="s">
        <v>15</v>
      </c>
      <c r="M34" s="6" t="s">
        <v>14</v>
      </c>
      <c r="N34" s="6" t="s">
        <v>271</v>
      </c>
      <c r="Q34" s="45"/>
      <c r="R34" s="45"/>
    </row>
    <row r="35" ht="12.75" customHeight="1">
      <c r="B35" s="6" t="s">
        <v>18</v>
      </c>
      <c r="C35" s="7" t="s">
        <v>272</v>
      </c>
      <c r="D35" s="8">
        <f t="shared" si="1"/>
        <v>4</v>
      </c>
      <c r="E35" s="9"/>
      <c r="F35" s="6" t="s">
        <v>14</v>
      </c>
      <c r="G35" s="14" t="s">
        <v>14</v>
      </c>
      <c r="H35" s="6" t="s">
        <v>15</v>
      </c>
      <c r="I35" s="6" t="s">
        <v>12</v>
      </c>
      <c r="J35" s="14" t="s">
        <v>52</v>
      </c>
      <c r="K35" s="6" t="s">
        <v>16</v>
      </c>
      <c r="L35" s="6" t="s">
        <v>17</v>
      </c>
      <c r="M35" s="6" t="s">
        <v>14</v>
      </c>
      <c r="N35" s="6" t="s">
        <v>16</v>
      </c>
      <c r="Q35" s="45"/>
      <c r="R35" s="45"/>
    </row>
    <row r="36" ht="12.75" customHeight="1">
      <c r="B36" s="12" t="s">
        <v>19</v>
      </c>
      <c r="C36" s="7" t="s">
        <v>273</v>
      </c>
      <c r="D36" s="8">
        <f t="shared" si="1"/>
        <v>4</v>
      </c>
      <c r="E36" s="13"/>
      <c r="F36" s="39" t="s">
        <v>274</v>
      </c>
      <c r="G36" s="10" t="s">
        <v>39</v>
      </c>
      <c r="H36" s="39" t="s">
        <v>17</v>
      </c>
      <c r="I36" s="39" t="s">
        <v>14</v>
      </c>
      <c r="J36" s="39" t="s">
        <v>15</v>
      </c>
      <c r="K36" s="6" t="s">
        <v>16</v>
      </c>
      <c r="L36" s="39" t="s">
        <v>12</v>
      </c>
      <c r="M36" s="6" t="s">
        <v>14</v>
      </c>
      <c r="N36" s="6" t="s">
        <v>16</v>
      </c>
      <c r="Q36" s="45"/>
      <c r="R36" s="45"/>
    </row>
    <row r="37" ht="12.75" customHeight="1">
      <c r="B37" s="6" t="s">
        <v>21</v>
      </c>
      <c r="C37" s="7" t="s">
        <v>275</v>
      </c>
      <c r="D37" s="8">
        <f t="shared" si="1"/>
        <v>4</v>
      </c>
      <c r="E37" s="21"/>
      <c r="F37" s="40" t="s">
        <v>42</v>
      </c>
      <c r="G37" s="6" t="s">
        <v>15</v>
      </c>
      <c r="H37" s="41" t="s">
        <v>12</v>
      </c>
      <c r="I37" s="41" t="s">
        <v>14</v>
      </c>
      <c r="J37" s="41" t="s">
        <v>17</v>
      </c>
      <c r="K37" s="6" t="s">
        <v>16</v>
      </c>
      <c r="L37" s="41" t="s">
        <v>14</v>
      </c>
      <c r="M37" s="6" t="s">
        <v>22</v>
      </c>
      <c r="N37" s="6" t="s">
        <v>16</v>
      </c>
      <c r="Q37" s="45"/>
      <c r="R37" s="45"/>
    </row>
    <row r="38" ht="12.75" customHeight="1">
      <c r="B38" s="6" t="s">
        <v>26</v>
      </c>
      <c r="C38" s="7" t="s">
        <v>276</v>
      </c>
      <c r="D38" s="8">
        <f t="shared" si="1"/>
        <v>4</v>
      </c>
      <c r="E38" s="21"/>
      <c r="F38" s="41" t="s">
        <v>14</v>
      </c>
      <c r="G38" s="6" t="s">
        <v>14</v>
      </c>
      <c r="H38" s="42" t="s">
        <v>17</v>
      </c>
      <c r="I38" s="73" t="s">
        <v>20</v>
      </c>
      <c r="J38" s="41" t="s">
        <v>12</v>
      </c>
      <c r="K38" s="6" t="s">
        <v>16</v>
      </c>
      <c r="L38" s="41" t="s">
        <v>15</v>
      </c>
      <c r="M38" s="6" t="s">
        <v>14</v>
      </c>
      <c r="N38" s="6" t="s">
        <v>16</v>
      </c>
      <c r="O38" s="67" t="s">
        <v>20</v>
      </c>
      <c r="Q38" s="45"/>
      <c r="R38" s="45"/>
    </row>
    <row r="39" ht="12.75" customHeight="1">
      <c r="B39" s="24" t="s">
        <v>28</v>
      </c>
      <c r="C39" s="7" t="s">
        <v>277</v>
      </c>
      <c r="D39" s="18">
        <f t="shared" si="1"/>
        <v>3</v>
      </c>
      <c r="E39" s="19"/>
      <c r="F39" s="43" t="s">
        <v>15</v>
      </c>
      <c r="G39" s="17" t="s">
        <v>14</v>
      </c>
      <c r="H39" s="43" t="s">
        <v>12</v>
      </c>
      <c r="I39" s="43" t="s">
        <v>14</v>
      </c>
      <c r="J39" s="43" t="s">
        <v>22</v>
      </c>
      <c r="K39" s="17" t="s">
        <v>16</v>
      </c>
      <c r="L39" s="43" t="s">
        <v>278</v>
      </c>
      <c r="M39" s="43" t="s">
        <v>22</v>
      </c>
      <c r="N39" s="17" t="s">
        <v>17</v>
      </c>
      <c r="Q39" s="16"/>
      <c r="R39" s="16"/>
    </row>
    <row r="40" ht="12.75" customHeight="1">
      <c r="B40" s="24" t="s">
        <v>32</v>
      </c>
      <c r="C40" s="7" t="s">
        <v>279</v>
      </c>
      <c r="D40" s="18">
        <f t="shared" si="1"/>
        <v>1</v>
      </c>
      <c r="E40" s="19"/>
      <c r="F40" s="42" t="s">
        <v>22</v>
      </c>
      <c r="G40" s="43" t="s">
        <v>17</v>
      </c>
      <c r="H40" s="43" t="s">
        <v>22</v>
      </c>
      <c r="I40" s="43" t="s">
        <v>15</v>
      </c>
      <c r="J40" s="43" t="s">
        <v>22</v>
      </c>
      <c r="K40" s="17" t="s">
        <v>22</v>
      </c>
      <c r="L40" s="43" t="s">
        <v>22</v>
      </c>
      <c r="M40" s="43" t="s">
        <v>22</v>
      </c>
      <c r="N40" s="17" t="s">
        <v>12</v>
      </c>
      <c r="Q40" s="16"/>
      <c r="R40" s="16"/>
    </row>
    <row r="41" ht="12.75" customHeight="1">
      <c r="B41" s="25" t="s">
        <v>35</v>
      </c>
      <c r="C41" s="26"/>
      <c r="D41" s="8"/>
      <c r="E41" s="27"/>
      <c r="F41" s="28">
        <f t="shared" ref="F41:N41" si="6">COUNTIF(F34:F40,$Q$6)*$S$6+COUNTIF(F34:F40,$Q$7)*$S$7+COUNTIF(F34:F40,$Q$8)*$S$8+COUNTIF(F34:F40,$Q$9)*$S$9+COUNTIF(F34:F40,$Q$10)*$S$10+COUNTIF(F34:F40,$Q$11)*$S$11+COUNTIF(F34:F40,$Q$12)*$S$12+COUNTIF(F34:F40,$Q$13)*$S$13+COUNTIF(F34:F40,$Q$14)*$S$14+COUNTIF(F34:F40,$Q$15)*$S$15+COUNTIF(F34:F40,$Q$16)*$S$16</f>
        <v>32</v>
      </c>
      <c r="G41" s="28">
        <f t="shared" si="6"/>
        <v>46</v>
      </c>
      <c r="H41" s="28">
        <f t="shared" si="6"/>
        <v>42</v>
      </c>
      <c r="I41" s="28">
        <f t="shared" si="6"/>
        <v>44</v>
      </c>
      <c r="J41" s="28">
        <f t="shared" si="6"/>
        <v>35.33</v>
      </c>
      <c r="K41" s="28">
        <f t="shared" si="6"/>
        <v>37.98</v>
      </c>
      <c r="L41" s="28">
        <f t="shared" si="6"/>
        <v>41</v>
      </c>
      <c r="M41" s="28">
        <f t="shared" si="6"/>
        <v>20</v>
      </c>
      <c r="N41" s="28">
        <f t="shared" si="6"/>
        <v>37.32</v>
      </c>
      <c r="Q41" s="16"/>
      <c r="R41" s="16"/>
    </row>
    <row r="42" ht="12.75" customHeight="1">
      <c r="B42" s="50" t="s">
        <v>92</v>
      </c>
      <c r="C42" s="26"/>
      <c r="D42" s="51" t="s">
        <v>93</v>
      </c>
      <c r="E42" s="26"/>
      <c r="F42" s="29">
        <f t="shared" ref="F42:N42" si="7">(F9+F17+F25+F33+F33+F41)</f>
        <v>233</v>
      </c>
      <c r="G42" s="29">
        <f t="shared" si="7"/>
        <v>242.31</v>
      </c>
      <c r="H42" s="29">
        <f t="shared" si="7"/>
        <v>210.98</v>
      </c>
      <c r="I42" s="29">
        <f t="shared" si="7"/>
        <v>228.29</v>
      </c>
      <c r="J42" s="29">
        <f t="shared" si="7"/>
        <v>218.33</v>
      </c>
      <c r="K42" s="29">
        <f t="shared" si="7"/>
        <v>225.64</v>
      </c>
      <c r="L42" s="29">
        <f t="shared" si="7"/>
        <v>213.98</v>
      </c>
      <c r="M42" s="29">
        <f t="shared" si="7"/>
        <v>151.65</v>
      </c>
      <c r="N42" s="29">
        <f t="shared" si="7"/>
        <v>192.32</v>
      </c>
      <c r="Q42" s="16"/>
      <c r="R42" s="16"/>
    </row>
    <row r="43" ht="12.75" customHeight="1">
      <c r="D43" s="57"/>
      <c r="E43" s="57"/>
      <c r="F43" s="54" t="s">
        <v>1</v>
      </c>
      <c r="G43" s="54" t="s">
        <v>2</v>
      </c>
      <c r="H43" s="54" t="s">
        <v>3</v>
      </c>
      <c r="I43" s="54" t="s">
        <v>4</v>
      </c>
      <c r="J43" s="54" t="s">
        <v>5</v>
      </c>
      <c r="K43" s="54" t="s">
        <v>6</v>
      </c>
      <c r="L43" s="54" t="s">
        <v>7</v>
      </c>
      <c r="M43" s="54" t="s">
        <v>9</v>
      </c>
      <c r="N43" s="54" t="s">
        <v>8</v>
      </c>
      <c r="Q43" s="16"/>
      <c r="R43" s="16"/>
    </row>
    <row r="44" ht="12.75" customHeight="1">
      <c r="Q44" s="16"/>
      <c r="R44" s="16"/>
    </row>
    <row r="45" ht="12.75" customHeight="1">
      <c r="E45" s="55" t="s">
        <v>15</v>
      </c>
      <c r="F45" s="55">
        <v>4.0</v>
      </c>
      <c r="G45" s="55">
        <v>4.0</v>
      </c>
      <c r="H45" s="55">
        <v>3.0</v>
      </c>
      <c r="I45" s="55">
        <v>4.0</v>
      </c>
      <c r="J45" s="55">
        <v>4.0</v>
      </c>
      <c r="K45" s="55">
        <v>4.0</v>
      </c>
      <c r="L45" s="55">
        <v>4.0</v>
      </c>
      <c r="M45" s="55"/>
      <c r="N45" s="55">
        <v>4.0</v>
      </c>
      <c r="Q45" s="16"/>
      <c r="R45" s="16"/>
    </row>
    <row r="46" ht="12.75" customHeight="1">
      <c r="E46" s="55" t="s">
        <v>17</v>
      </c>
      <c r="F46" s="55">
        <v>3.0</v>
      </c>
      <c r="G46" s="55">
        <v>4.0</v>
      </c>
      <c r="H46" s="55">
        <v>5.0</v>
      </c>
      <c r="I46" s="55">
        <v>4.0</v>
      </c>
      <c r="J46" s="55">
        <v>5.0</v>
      </c>
      <c r="K46" s="55">
        <v>3.0</v>
      </c>
      <c r="L46" s="55">
        <v>4.0</v>
      </c>
      <c r="M46" s="55"/>
      <c r="N46" s="55">
        <v>3.0</v>
      </c>
      <c r="Q46" s="16"/>
      <c r="R46" s="16"/>
    </row>
    <row r="47" ht="12.75" customHeight="1">
      <c r="Q47" s="16"/>
      <c r="R47" s="16"/>
    </row>
    <row r="48" ht="12.75" customHeight="1">
      <c r="Q48" s="16"/>
      <c r="R48" s="16"/>
    </row>
    <row r="49" ht="12.75" customHeight="1">
      <c r="Q49" s="16"/>
      <c r="R49" s="16"/>
    </row>
    <row r="50" ht="12.75" customHeight="1">
      <c r="Q50" s="16"/>
      <c r="R50" s="16"/>
    </row>
    <row r="51" ht="12.75" customHeight="1">
      <c r="A51" s="16"/>
      <c r="Q51" s="16"/>
      <c r="R51" s="16"/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B9:C9"/>
    <mergeCell ref="B17:C17"/>
    <mergeCell ref="B25:C25"/>
    <mergeCell ref="B33:C33"/>
    <mergeCell ref="B41:C41"/>
    <mergeCell ref="B42:C42"/>
    <mergeCell ref="D42:E42"/>
  </mergeCells>
  <printOptions/>
  <pageMargins bottom="0.0" footer="0.0" header="0.0" left="0.0" right="0.0" top="0.236111111111111"/>
  <pageSetup paperSize="9" scale="88" orientation="landscape"/>
  <headerFooter>
    <oddHeader>&amp;Cffffff&amp;A</oddHeader>
    <oddFooter>&amp;CffffffPagina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2" width="10.0"/>
    <col customWidth="1" min="23" max="26" width="6.5"/>
  </cols>
  <sheetData>
    <row r="1" ht="12.75" customHeight="1">
      <c r="D1" s="1" t="s">
        <v>0</v>
      </c>
      <c r="E1" s="2"/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9</v>
      </c>
      <c r="N1" s="3" t="s">
        <v>8</v>
      </c>
      <c r="O1" s="5"/>
      <c r="P1" s="5"/>
      <c r="Q1" s="5"/>
      <c r="R1" s="5"/>
    </row>
    <row r="2" ht="12.75" customHeight="1">
      <c r="B2" s="6" t="s">
        <v>10</v>
      </c>
      <c r="C2" s="7" t="s">
        <v>280</v>
      </c>
      <c r="D2" s="8">
        <f t="shared" ref="D2:D40" si="1">COUNTIF(E2:M2,$Q$6)*$T$6+COUNTIF(E2:M2,$Q$7)*$T$7+COUNTIF(E2:M2,$Q$9)*$T$9+COUNTIF(E2:M2,$Q$10)*$T$10+COUNTIF(E2:M2,$Q$11)*$T$11</f>
        <v>4</v>
      </c>
      <c r="E2" s="9"/>
      <c r="F2" s="6" t="s">
        <v>14</v>
      </c>
      <c r="G2" s="6" t="s">
        <v>12</v>
      </c>
      <c r="H2" s="6" t="s">
        <v>16</v>
      </c>
      <c r="I2" s="6" t="s">
        <v>281</v>
      </c>
      <c r="J2" s="6" t="s">
        <v>15</v>
      </c>
      <c r="K2" s="6" t="s">
        <v>17</v>
      </c>
      <c r="L2" s="6" t="s">
        <v>14</v>
      </c>
      <c r="M2" s="6" t="s">
        <v>14</v>
      </c>
      <c r="N2" s="6" t="s">
        <v>282</v>
      </c>
    </row>
    <row r="3" ht="12.75" customHeight="1">
      <c r="B3" s="17" t="s">
        <v>18</v>
      </c>
      <c r="C3" s="7" t="s">
        <v>283</v>
      </c>
      <c r="D3" s="18">
        <f t="shared" si="1"/>
        <v>1</v>
      </c>
      <c r="E3" s="30"/>
      <c r="F3" s="17"/>
      <c r="G3" s="17"/>
      <c r="H3" s="17" t="s">
        <v>22</v>
      </c>
      <c r="I3" s="17" t="s">
        <v>22</v>
      </c>
      <c r="J3" s="17"/>
      <c r="K3" s="17" t="s">
        <v>12</v>
      </c>
      <c r="L3" s="17" t="s">
        <v>15</v>
      </c>
      <c r="M3" s="17" t="s">
        <v>22</v>
      </c>
      <c r="N3" s="17" t="s">
        <v>17</v>
      </c>
    </row>
    <row r="4" ht="12.75" customHeight="1">
      <c r="B4" s="12" t="s">
        <v>19</v>
      </c>
      <c r="C4" s="7" t="s">
        <v>284</v>
      </c>
      <c r="D4" s="8">
        <f t="shared" si="1"/>
        <v>4</v>
      </c>
      <c r="E4" s="13"/>
      <c r="F4" s="38" t="s">
        <v>20</v>
      </c>
      <c r="G4" s="6" t="s">
        <v>17</v>
      </c>
      <c r="H4" s="39" t="s">
        <v>16</v>
      </c>
      <c r="I4" s="39" t="s">
        <v>15</v>
      </c>
      <c r="J4" s="74" t="s">
        <v>39</v>
      </c>
      <c r="K4" s="6" t="s">
        <v>285</v>
      </c>
      <c r="L4" s="39" t="s">
        <v>14</v>
      </c>
      <c r="M4" s="6" t="s">
        <v>14</v>
      </c>
      <c r="N4" s="6" t="s">
        <v>12</v>
      </c>
      <c r="O4" s="75" t="s">
        <v>20</v>
      </c>
    </row>
    <row r="5" ht="12.75" customHeight="1">
      <c r="B5" s="12" t="s">
        <v>21</v>
      </c>
      <c r="C5" s="7" t="s">
        <v>286</v>
      </c>
      <c r="D5" s="8">
        <f t="shared" si="1"/>
        <v>4</v>
      </c>
      <c r="E5" s="21"/>
      <c r="F5" s="41" t="s">
        <v>14</v>
      </c>
      <c r="G5" s="6" t="s">
        <v>12</v>
      </c>
      <c r="H5" s="41" t="s">
        <v>16</v>
      </c>
      <c r="I5" s="6" t="s">
        <v>17</v>
      </c>
      <c r="J5" s="41" t="s">
        <v>15</v>
      </c>
      <c r="K5" s="15" t="s">
        <v>42</v>
      </c>
      <c r="L5" s="42" t="s">
        <v>14</v>
      </c>
      <c r="M5" s="14" t="s">
        <v>52</v>
      </c>
      <c r="N5" s="76" t="s">
        <v>13</v>
      </c>
      <c r="Q5" s="20" t="s">
        <v>23</v>
      </c>
      <c r="R5" s="20"/>
      <c r="S5" s="20" t="s">
        <v>24</v>
      </c>
      <c r="T5" s="20" t="s">
        <v>25</v>
      </c>
    </row>
    <row r="6" ht="12.75" customHeight="1">
      <c r="B6" s="6" t="s">
        <v>26</v>
      </c>
      <c r="C6" s="7" t="s">
        <v>287</v>
      </c>
      <c r="D6" s="8">
        <f t="shared" si="1"/>
        <v>4</v>
      </c>
      <c r="E6" s="21"/>
      <c r="F6" s="41" t="s">
        <v>15</v>
      </c>
      <c r="G6" s="76" t="s">
        <v>39</v>
      </c>
      <c r="H6" s="41" t="s">
        <v>16</v>
      </c>
      <c r="I6" s="6" t="s">
        <v>12</v>
      </c>
      <c r="J6" s="42" t="s">
        <v>14</v>
      </c>
      <c r="K6" s="6" t="s">
        <v>22</v>
      </c>
      <c r="L6" s="41" t="s">
        <v>17</v>
      </c>
      <c r="M6" s="6" t="s">
        <v>14</v>
      </c>
      <c r="N6" s="6" t="s">
        <v>14</v>
      </c>
      <c r="O6" s="16" t="s">
        <v>288</v>
      </c>
      <c r="Q6" s="22" t="s">
        <v>14</v>
      </c>
      <c r="R6" s="22" t="s">
        <v>27</v>
      </c>
      <c r="S6" s="23">
        <v>5.0</v>
      </c>
      <c r="T6" s="23">
        <v>1.0</v>
      </c>
    </row>
    <row r="7" ht="12.75" customHeight="1">
      <c r="B7" s="24" t="s">
        <v>28</v>
      </c>
      <c r="C7" s="7" t="s">
        <v>289</v>
      </c>
      <c r="D7" s="63">
        <f t="shared" si="1"/>
        <v>2</v>
      </c>
      <c r="E7" s="19"/>
      <c r="F7" s="42" t="s">
        <v>17</v>
      </c>
      <c r="G7" s="24" t="s">
        <v>14</v>
      </c>
      <c r="H7" s="43" t="s">
        <v>16</v>
      </c>
      <c r="I7" s="17" t="s">
        <v>16</v>
      </c>
      <c r="J7" s="42" t="s">
        <v>22</v>
      </c>
      <c r="K7" s="17" t="s">
        <v>14</v>
      </c>
      <c r="L7" s="43" t="s">
        <v>12</v>
      </c>
      <c r="M7" s="43" t="s">
        <v>22</v>
      </c>
      <c r="N7" s="17" t="s">
        <v>15</v>
      </c>
      <c r="Q7" s="22" t="s">
        <v>15</v>
      </c>
      <c r="R7" s="22" t="s">
        <v>31</v>
      </c>
      <c r="S7" s="23">
        <v>12.0</v>
      </c>
      <c r="T7" s="23">
        <v>1.0</v>
      </c>
    </row>
    <row r="8" ht="12.75" customHeight="1">
      <c r="B8" s="24" t="s">
        <v>32</v>
      </c>
      <c r="C8" s="7" t="s">
        <v>290</v>
      </c>
      <c r="D8" s="63">
        <f t="shared" si="1"/>
        <v>1</v>
      </c>
      <c r="E8" s="19"/>
      <c r="F8" s="42" t="s">
        <v>12</v>
      </c>
      <c r="G8" s="24" t="s">
        <v>15</v>
      </c>
      <c r="H8" s="43" t="s">
        <v>22</v>
      </c>
      <c r="I8" s="17" t="s">
        <v>22</v>
      </c>
      <c r="J8" s="42" t="s">
        <v>22</v>
      </c>
      <c r="K8" s="43" t="s">
        <v>17</v>
      </c>
      <c r="L8" s="43" t="s">
        <v>22</v>
      </c>
      <c r="M8" s="43" t="s">
        <v>22</v>
      </c>
      <c r="N8" s="17" t="s">
        <v>22</v>
      </c>
      <c r="Q8" s="22" t="s">
        <v>17</v>
      </c>
      <c r="R8" s="22" t="s">
        <v>33</v>
      </c>
      <c r="S8" s="23">
        <v>12.0</v>
      </c>
      <c r="T8" s="22" t="s">
        <v>34</v>
      </c>
    </row>
    <row r="9" ht="12.75" customHeight="1">
      <c r="B9" s="25" t="s">
        <v>35</v>
      </c>
      <c r="C9" s="26"/>
      <c r="D9" s="8">
        <f t="shared" si="1"/>
        <v>0</v>
      </c>
      <c r="E9" s="27"/>
      <c r="F9" s="28">
        <f t="shared" ref="F9:N9" si="2">COUNTIF(F2:F8,$Q$6)*$S$6+COUNTIF(F2:F8,$Q$7)*$S$7+COUNTIF(F2:F8,$Q$8)*$S$8+COUNTIF(F2:F8,$Q$9)*$S$9+COUNTIF(F2:F8,$Q$10)*$S$10+COUNTIF(F2:F8,$Q$11)*$S$11+COUNTIF(F2:F8,$Q$12)*$S$12+COUNTIF(F2:F8,$Q$13)*$S$13+COUNTIF(F2:F8,$Q$14)*$S$14+COUNTIF(F2:F8,$Q$15)*$S$15+COUNTIF(F2:F8,$Q$16)*$S$16</f>
        <v>39</v>
      </c>
      <c r="G9" s="28">
        <f t="shared" si="2"/>
        <v>36</v>
      </c>
      <c r="H9" s="28">
        <f t="shared" si="2"/>
        <v>31.65</v>
      </c>
      <c r="I9" s="28">
        <f t="shared" si="2"/>
        <v>30.33</v>
      </c>
      <c r="J9" s="28">
        <f t="shared" si="2"/>
        <v>36</v>
      </c>
      <c r="K9" s="28">
        <f t="shared" si="2"/>
        <v>39</v>
      </c>
      <c r="L9" s="28">
        <f t="shared" si="2"/>
        <v>39</v>
      </c>
      <c r="M9" s="28">
        <f t="shared" si="2"/>
        <v>21.33</v>
      </c>
      <c r="N9" s="28">
        <f t="shared" si="2"/>
        <v>35</v>
      </c>
      <c r="Q9" s="22" t="s">
        <v>13</v>
      </c>
      <c r="R9" s="22" t="s">
        <v>36</v>
      </c>
      <c r="S9" s="23">
        <v>6.0</v>
      </c>
      <c r="T9" s="23">
        <v>1.0</v>
      </c>
    </row>
    <row r="10" ht="12.75" customHeight="1">
      <c r="B10" s="6" t="s">
        <v>10</v>
      </c>
      <c r="C10" s="7" t="s">
        <v>291</v>
      </c>
      <c r="D10" s="8">
        <f t="shared" si="1"/>
        <v>4</v>
      </c>
      <c r="E10" s="9"/>
      <c r="F10" s="14" t="s">
        <v>14</v>
      </c>
      <c r="G10" s="6" t="s">
        <v>292</v>
      </c>
      <c r="H10" s="6" t="s">
        <v>17</v>
      </c>
      <c r="I10" s="6" t="s">
        <v>16</v>
      </c>
      <c r="J10" s="14" t="s">
        <v>14</v>
      </c>
      <c r="K10" s="6" t="s">
        <v>12</v>
      </c>
      <c r="L10" s="6" t="s">
        <v>15</v>
      </c>
      <c r="M10" s="6" t="s">
        <v>14</v>
      </c>
      <c r="N10" s="76" t="s">
        <v>13</v>
      </c>
      <c r="O10" s="57"/>
      <c r="Q10" s="22" t="s">
        <v>39</v>
      </c>
      <c r="R10" s="22" t="s">
        <v>40</v>
      </c>
      <c r="S10" s="23">
        <v>7.0</v>
      </c>
      <c r="T10" s="23">
        <v>1.0</v>
      </c>
    </row>
    <row r="11" ht="12.75" customHeight="1">
      <c r="B11" s="12" t="s">
        <v>18</v>
      </c>
      <c r="C11" s="7" t="s">
        <v>293</v>
      </c>
      <c r="D11" s="8">
        <f t="shared" si="1"/>
        <v>4</v>
      </c>
      <c r="E11" s="9"/>
      <c r="F11" s="6" t="s">
        <v>15</v>
      </c>
      <c r="G11" s="6" t="s">
        <v>14</v>
      </c>
      <c r="H11" s="6" t="s">
        <v>12</v>
      </c>
      <c r="I11" s="6" t="s">
        <v>16</v>
      </c>
      <c r="J11" s="6" t="s">
        <v>14</v>
      </c>
      <c r="K11" s="15" t="s">
        <v>20</v>
      </c>
      <c r="L11" s="11" t="s">
        <v>17</v>
      </c>
      <c r="M11" s="6" t="s">
        <v>14</v>
      </c>
      <c r="N11" s="6" t="s">
        <v>14</v>
      </c>
      <c r="Q11" s="22" t="s">
        <v>42</v>
      </c>
      <c r="R11" s="22" t="s">
        <v>43</v>
      </c>
      <c r="S11" s="23">
        <v>10.0</v>
      </c>
      <c r="T11" s="23">
        <v>1.0</v>
      </c>
    </row>
    <row r="12" ht="12.75" customHeight="1">
      <c r="B12" s="12" t="s">
        <v>19</v>
      </c>
      <c r="C12" s="7" t="s">
        <v>294</v>
      </c>
      <c r="D12" s="8">
        <f t="shared" si="1"/>
        <v>4</v>
      </c>
      <c r="E12" s="9"/>
      <c r="F12" s="6" t="s">
        <v>14</v>
      </c>
      <c r="G12" s="76" t="s">
        <v>39</v>
      </c>
      <c r="H12" s="11" t="s">
        <v>14</v>
      </c>
      <c r="I12" s="39" t="s">
        <v>16</v>
      </c>
      <c r="J12" s="6" t="s">
        <v>17</v>
      </c>
      <c r="K12" s="6" t="s">
        <v>295</v>
      </c>
      <c r="L12" s="6" t="s">
        <v>12</v>
      </c>
      <c r="M12" s="6" t="s">
        <v>14</v>
      </c>
      <c r="N12" s="6" t="s">
        <v>15</v>
      </c>
      <c r="Q12" s="22" t="s">
        <v>20</v>
      </c>
      <c r="R12" s="22" t="s">
        <v>46</v>
      </c>
      <c r="S12" s="23">
        <v>5.0</v>
      </c>
      <c r="T12" s="22" t="s">
        <v>34</v>
      </c>
    </row>
    <row r="13" ht="12.75" customHeight="1">
      <c r="B13" s="12" t="s">
        <v>21</v>
      </c>
      <c r="C13" s="7" t="s">
        <v>296</v>
      </c>
      <c r="D13" s="8">
        <f t="shared" si="1"/>
        <v>4</v>
      </c>
      <c r="E13" s="9"/>
      <c r="F13" s="15" t="s">
        <v>48</v>
      </c>
      <c r="G13" s="6" t="s">
        <v>15</v>
      </c>
      <c r="H13" s="6" t="s">
        <v>297</v>
      </c>
      <c r="I13" s="41" t="s">
        <v>16</v>
      </c>
      <c r="J13" s="6" t="s">
        <v>12</v>
      </c>
      <c r="K13" s="15" t="s">
        <v>42</v>
      </c>
      <c r="L13" s="6" t="s">
        <v>14</v>
      </c>
      <c r="M13" s="6" t="s">
        <v>14</v>
      </c>
      <c r="N13" s="6" t="s">
        <v>17</v>
      </c>
      <c r="O13" s="75" t="s">
        <v>48</v>
      </c>
      <c r="Q13" s="22" t="s">
        <v>48</v>
      </c>
      <c r="R13" s="22" t="s">
        <v>49</v>
      </c>
      <c r="S13" s="23">
        <v>10.0</v>
      </c>
      <c r="T13" s="22" t="s">
        <v>34</v>
      </c>
    </row>
    <row r="14" ht="12.75" customHeight="1">
      <c r="B14" s="12" t="s">
        <v>26</v>
      </c>
      <c r="C14" s="7" t="s">
        <v>298</v>
      </c>
      <c r="D14" s="8">
        <f t="shared" si="1"/>
        <v>4</v>
      </c>
      <c r="E14" s="9"/>
      <c r="F14" s="6" t="s">
        <v>14</v>
      </c>
      <c r="G14" s="14" t="s">
        <v>17</v>
      </c>
      <c r="H14" s="6" t="s">
        <v>15</v>
      </c>
      <c r="I14" s="41" t="s">
        <v>16</v>
      </c>
      <c r="J14" s="6" t="s">
        <v>22</v>
      </c>
      <c r="K14" s="6" t="s">
        <v>14</v>
      </c>
      <c r="L14" s="6" t="s">
        <v>22</v>
      </c>
      <c r="M14" s="6" t="s">
        <v>14</v>
      </c>
      <c r="N14" s="6" t="s">
        <v>12</v>
      </c>
      <c r="O14" s="57"/>
      <c r="Q14" s="31" t="s">
        <v>52</v>
      </c>
      <c r="R14" s="31" t="s">
        <v>53</v>
      </c>
      <c r="S14" s="32">
        <v>6.33</v>
      </c>
      <c r="T14" s="32" t="s">
        <v>34</v>
      </c>
    </row>
    <row r="15" ht="12.75" customHeight="1">
      <c r="B15" s="24" t="s">
        <v>28</v>
      </c>
      <c r="C15" s="7" t="s">
        <v>299</v>
      </c>
      <c r="D15" s="63">
        <f t="shared" si="1"/>
        <v>3</v>
      </c>
      <c r="E15" s="30"/>
      <c r="F15" s="24" t="s">
        <v>300</v>
      </c>
      <c r="G15" s="17" t="s">
        <v>12</v>
      </c>
      <c r="H15" s="24" t="s">
        <v>14</v>
      </c>
      <c r="I15" s="43" t="s">
        <v>16</v>
      </c>
      <c r="J15" s="17" t="s">
        <v>15</v>
      </c>
      <c r="K15" s="24" t="s">
        <v>14</v>
      </c>
      <c r="L15" s="17" t="s">
        <v>17</v>
      </c>
      <c r="M15" s="17" t="s">
        <v>22</v>
      </c>
      <c r="N15" s="14" t="s">
        <v>16</v>
      </c>
      <c r="Q15" s="31" t="s">
        <v>16</v>
      </c>
      <c r="R15" s="31" t="s">
        <v>57</v>
      </c>
      <c r="S15" s="32">
        <v>6.33</v>
      </c>
      <c r="T15" s="32" t="s">
        <v>34</v>
      </c>
    </row>
    <row r="16" ht="12.75" customHeight="1">
      <c r="B16" s="24" t="s">
        <v>32</v>
      </c>
      <c r="C16" s="7" t="s">
        <v>301</v>
      </c>
      <c r="D16" s="63">
        <f t="shared" si="1"/>
        <v>1</v>
      </c>
      <c r="E16" s="30"/>
      <c r="F16" s="24" t="s">
        <v>22</v>
      </c>
      <c r="G16" s="17" t="s">
        <v>22</v>
      </c>
      <c r="H16" s="24" t="s">
        <v>17</v>
      </c>
      <c r="I16" s="43" t="s">
        <v>22</v>
      </c>
      <c r="J16" s="17" t="s">
        <v>22</v>
      </c>
      <c r="K16" s="24" t="s">
        <v>15</v>
      </c>
      <c r="L16" s="17" t="s">
        <v>12</v>
      </c>
      <c r="M16" s="17" t="s">
        <v>22</v>
      </c>
      <c r="N16" s="14" t="s">
        <v>22</v>
      </c>
      <c r="Q16" s="33" t="s">
        <v>59</v>
      </c>
      <c r="R16" s="33" t="s">
        <v>60</v>
      </c>
      <c r="S16" s="34">
        <v>0.0</v>
      </c>
      <c r="T16" s="34" t="s">
        <v>34</v>
      </c>
    </row>
    <row r="17" ht="12.75" customHeight="1">
      <c r="B17" s="25" t="s">
        <v>35</v>
      </c>
      <c r="C17" s="26"/>
      <c r="D17" s="8">
        <f t="shared" si="1"/>
        <v>0</v>
      </c>
      <c r="E17" s="27"/>
      <c r="F17" s="28">
        <f t="shared" ref="F17:N17" si="3">COUNTIF(F10:F16,$Q$6)*$S$6+COUNTIF(F10:F16,$Q$7)*$S$7+COUNTIF(F10:F16,$Q$8)*$S$8+COUNTIF(F10:F16,$Q$9)*$S$9+COUNTIF(F10:F16,$Q$10)*$S$10+COUNTIF(F10:F16,$Q$11)*$S$11+COUNTIF(F10:F16,$Q$12)*$S$12+COUNTIF(F10:F16,$Q$13)*$S$13+COUNTIF(F10:F16,$Q$14)*$S$14+COUNTIF(F10:F16,$Q$15)*$S$15+COUNTIF(F10:F16,$Q$16)*$S$16</f>
        <v>37</v>
      </c>
      <c r="G17" s="28">
        <f t="shared" si="3"/>
        <v>36</v>
      </c>
      <c r="H17" s="28">
        <f t="shared" si="3"/>
        <v>46</v>
      </c>
      <c r="I17" s="28">
        <f t="shared" si="3"/>
        <v>37.98</v>
      </c>
      <c r="J17" s="28">
        <f t="shared" si="3"/>
        <v>34</v>
      </c>
      <c r="K17" s="28">
        <f t="shared" si="3"/>
        <v>37</v>
      </c>
      <c r="L17" s="28">
        <f t="shared" si="3"/>
        <v>41</v>
      </c>
      <c r="M17" s="28">
        <f t="shared" si="3"/>
        <v>25</v>
      </c>
      <c r="N17" s="28">
        <f t="shared" si="3"/>
        <v>41.33</v>
      </c>
      <c r="O17" s="11"/>
      <c r="P17" s="11"/>
      <c r="Q17" s="11"/>
      <c r="R17" s="11"/>
      <c r="S17" s="11"/>
      <c r="T17" s="11"/>
      <c r="U17" s="11"/>
      <c r="V17" s="11"/>
    </row>
    <row r="18" ht="12.75" customHeight="1">
      <c r="B18" s="6" t="s">
        <v>10</v>
      </c>
      <c r="C18" s="7" t="s">
        <v>302</v>
      </c>
      <c r="D18" s="8">
        <f t="shared" si="1"/>
        <v>4</v>
      </c>
      <c r="E18" s="6"/>
      <c r="F18" s="6" t="s">
        <v>15</v>
      </c>
      <c r="G18" s="6" t="s">
        <v>16</v>
      </c>
      <c r="H18" s="6" t="s">
        <v>12</v>
      </c>
      <c r="I18" s="6" t="s">
        <v>17</v>
      </c>
      <c r="J18" s="6" t="s">
        <v>14</v>
      </c>
      <c r="K18" s="6" t="s">
        <v>303</v>
      </c>
      <c r="L18" s="76" t="s">
        <v>13</v>
      </c>
      <c r="M18" s="6" t="s">
        <v>14</v>
      </c>
      <c r="N18" s="6" t="s">
        <v>16</v>
      </c>
      <c r="O18" s="11"/>
      <c r="P18" s="11"/>
      <c r="Q18" s="64"/>
      <c r="R18" s="64"/>
      <c r="S18" s="11"/>
      <c r="T18" s="11"/>
      <c r="U18" s="11"/>
      <c r="V18" s="11"/>
    </row>
    <row r="19" ht="12.75" customHeight="1">
      <c r="B19" s="12" t="s">
        <v>18</v>
      </c>
      <c r="C19" s="7" t="s">
        <v>304</v>
      </c>
      <c r="D19" s="8">
        <f t="shared" si="1"/>
        <v>4</v>
      </c>
      <c r="E19" s="6"/>
      <c r="F19" s="6" t="s">
        <v>17</v>
      </c>
      <c r="G19" s="6" t="s">
        <v>16</v>
      </c>
      <c r="H19" s="6" t="s">
        <v>14</v>
      </c>
      <c r="I19" s="6" t="s">
        <v>12</v>
      </c>
      <c r="J19" s="6" t="s">
        <v>15</v>
      </c>
      <c r="K19" s="15" t="s">
        <v>20</v>
      </c>
      <c r="L19" s="14" t="s">
        <v>14</v>
      </c>
      <c r="M19" s="6" t="s">
        <v>14</v>
      </c>
      <c r="N19" s="6" t="s">
        <v>16</v>
      </c>
      <c r="O19" s="11"/>
      <c r="P19" s="11"/>
      <c r="Q19" s="64"/>
      <c r="R19" s="64"/>
      <c r="S19" s="11"/>
      <c r="T19" s="11"/>
      <c r="U19" s="11"/>
      <c r="V19" s="11"/>
    </row>
    <row r="20" ht="12.75" customHeight="1">
      <c r="B20" s="12" t="s">
        <v>19</v>
      </c>
      <c r="C20" s="7" t="s">
        <v>305</v>
      </c>
      <c r="D20" s="8">
        <f t="shared" si="1"/>
        <v>4</v>
      </c>
      <c r="E20" s="6"/>
      <c r="F20" s="6" t="s">
        <v>12</v>
      </c>
      <c r="G20" s="39" t="s">
        <v>16</v>
      </c>
      <c r="H20" s="6" t="s">
        <v>17</v>
      </c>
      <c r="I20" s="6" t="s">
        <v>14</v>
      </c>
      <c r="J20" s="76" t="s">
        <v>39</v>
      </c>
      <c r="K20" s="6" t="s">
        <v>15</v>
      </c>
      <c r="L20" s="6" t="s">
        <v>306</v>
      </c>
      <c r="M20" s="6" t="s">
        <v>14</v>
      </c>
      <c r="N20" s="6" t="s">
        <v>16</v>
      </c>
      <c r="O20" s="11"/>
      <c r="P20" s="11"/>
      <c r="Q20" s="64"/>
      <c r="R20" s="64"/>
      <c r="S20" s="11"/>
      <c r="T20" s="11"/>
      <c r="U20" s="11"/>
      <c r="V20" s="11"/>
    </row>
    <row r="21" ht="12.75" customHeight="1">
      <c r="B21" s="12" t="s">
        <v>21</v>
      </c>
      <c r="C21" s="7" t="s">
        <v>307</v>
      </c>
      <c r="D21" s="8">
        <f t="shared" si="1"/>
        <v>4</v>
      </c>
      <c r="E21" s="6"/>
      <c r="F21" s="15" t="s">
        <v>42</v>
      </c>
      <c r="G21" s="41" t="s">
        <v>16</v>
      </c>
      <c r="H21" s="6" t="s">
        <v>12</v>
      </c>
      <c r="I21" s="6" t="s">
        <v>308</v>
      </c>
      <c r="J21" s="6" t="s">
        <v>14</v>
      </c>
      <c r="K21" s="6" t="s">
        <v>17</v>
      </c>
      <c r="L21" s="6" t="s">
        <v>15</v>
      </c>
      <c r="M21" s="6" t="s">
        <v>14</v>
      </c>
      <c r="N21" s="6" t="s">
        <v>16</v>
      </c>
      <c r="O21" s="11"/>
      <c r="P21" s="11"/>
      <c r="Q21" s="64"/>
      <c r="R21" s="64"/>
      <c r="S21" s="11"/>
      <c r="T21" s="11"/>
      <c r="U21" s="11"/>
      <c r="V21" s="11"/>
    </row>
    <row r="22" ht="12.75" customHeight="1">
      <c r="B22" s="6" t="s">
        <v>26</v>
      </c>
      <c r="C22" s="7" t="s">
        <v>309</v>
      </c>
      <c r="D22" s="8">
        <f t="shared" si="1"/>
        <v>4</v>
      </c>
      <c r="E22" s="6"/>
      <c r="F22" s="6" t="s">
        <v>14</v>
      </c>
      <c r="G22" s="41" t="s">
        <v>16</v>
      </c>
      <c r="H22" s="6" t="s">
        <v>14</v>
      </c>
      <c r="I22" s="6" t="s">
        <v>15</v>
      </c>
      <c r="J22" s="6" t="s">
        <v>17</v>
      </c>
      <c r="K22" s="6" t="s">
        <v>12</v>
      </c>
      <c r="L22" s="6" t="s">
        <v>14</v>
      </c>
      <c r="M22" s="14" t="s">
        <v>52</v>
      </c>
      <c r="N22" s="6" t="s">
        <v>16</v>
      </c>
      <c r="O22" s="11"/>
      <c r="P22" s="11"/>
      <c r="Q22" s="11"/>
      <c r="R22" s="11"/>
      <c r="S22" s="11"/>
      <c r="T22" s="11"/>
      <c r="U22" s="11"/>
      <c r="V22" s="11"/>
    </row>
    <row r="23" ht="12.75" customHeight="1">
      <c r="B23" s="24" t="s">
        <v>28</v>
      </c>
      <c r="C23" s="7" t="s">
        <v>310</v>
      </c>
      <c r="D23" s="63">
        <f t="shared" si="1"/>
        <v>3</v>
      </c>
      <c r="E23" s="17"/>
      <c r="F23" s="14" t="s">
        <v>22</v>
      </c>
      <c r="G23" s="43" t="s">
        <v>16</v>
      </c>
      <c r="H23" s="17" t="s">
        <v>14</v>
      </c>
      <c r="I23" s="14" t="s">
        <v>14</v>
      </c>
      <c r="J23" s="17" t="s">
        <v>12</v>
      </c>
      <c r="K23" s="17" t="s">
        <v>17</v>
      </c>
      <c r="L23" s="17" t="s">
        <v>15</v>
      </c>
      <c r="M23" s="17" t="s">
        <v>22</v>
      </c>
      <c r="N23" s="17" t="s">
        <v>16</v>
      </c>
      <c r="O23" s="11"/>
      <c r="P23" s="11"/>
      <c r="Q23" s="11"/>
      <c r="R23" s="11"/>
      <c r="S23" s="11"/>
      <c r="T23" s="11"/>
      <c r="U23" s="11"/>
      <c r="V23" s="11"/>
    </row>
    <row r="24" ht="12.75" customHeight="1">
      <c r="B24" s="24" t="s">
        <v>32</v>
      </c>
      <c r="C24" s="7" t="s">
        <v>311</v>
      </c>
      <c r="D24" s="63">
        <f t="shared" si="1"/>
        <v>1</v>
      </c>
      <c r="E24" s="30"/>
      <c r="F24" s="14" t="s">
        <v>22</v>
      </c>
      <c r="G24" s="43" t="s">
        <v>22</v>
      </c>
      <c r="H24" s="17" t="s">
        <v>15</v>
      </c>
      <c r="I24" s="14" t="s">
        <v>17</v>
      </c>
      <c r="J24" s="17" t="s">
        <v>22</v>
      </c>
      <c r="K24" s="17" t="s">
        <v>12</v>
      </c>
      <c r="L24" s="17" t="s">
        <v>22</v>
      </c>
      <c r="M24" s="17" t="s">
        <v>22</v>
      </c>
      <c r="N24" s="17" t="s">
        <v>22</v>
      </c>
      <c r="O24" s="11"/>
      <c r="P24" s="11"/>
      <c r="Q24" s="11"/>
      <c r="R24" s="11"/>
      <c r="S24" s="11"/>
      <c r="T24" s="11"/>
      <c r="U24" s="11"/>
      <c r="V24" s="11"/>
    </row>
    <row r="25" ht="12.75" customHeight="1">
      <c r="B25" s="25" t="s">
        <v>35</v>
      </c>
      <c r="C25" s="26"/>
      <c r="D25" s="8">
        <f t="shared" si="1"/>
        <v>0</v>
      </c>
      <c r="E25" s="27"/>
      <c r="F25" s="28">
        <f t="shared" ref="F25:N25" si="4">COUNTIF(F18:F24,$Q$6)*$S$6+COUNTIF(F18:F24,$Q$7)*$S$7+COUNTIF(F18:F24,$Q$8)*$S$8+COUNTIF(F18:F24,$Q$9)*$S$9+COUNTIF(F18:F24,$Q$10)*$S$10+COUNTIF(F18:F24,$Q$11)*$S$11+COUNTIF(F18:F24,$Q$12)*$S$12+COUNTIF(F18:F24,$Q$13)*$S$13+COUNTIF(F18:F24,$Q$14)*$S$14+COUNTIF(F18:F24,$Q$15)*$S$15+COUNTIF(F18:F24,$Q$16)*$S$16</f>
        <v>39</v>
      </c>
      <c r="G25" s="28">
        <f t="shared" si="4"/>
        <v>37.98</v>
      </c>
      <c r="H25" s="28">
        <f t="shared" si="4"/>
        <v>39</v>
      </c>
      <c r="I25" s="28">
        <f t="shared" si="4"/>
        <v>46</v>
      </c>
      <c r="J25" s="28">
        <f t="shared" si="4"/>
        <v>41</v>
      </c>
      <c r="K25" s="28">
        <f t="shared" si="4"/>
        <v>41</v>
      </c>
      <c r="L25" s="28">
        <f t="shared" si="4"/>
        <v>40</v>
      </c>
      <c r="M25" s="28">
        <f t="shared" si="4"/>
        <v>26.33</v>
      </c>
      <c r="N25" s="28">
        <f t="shared" si="4"/>
        <v>37.98</v>
      </c>
    </row>
    <row r="26" ht="12.75" customHeight="1">
      <c r="B26" s="6" t="s">
        <v>10</v>
      </c>
      <c r="C26" s="7" t="s">
        <v>312</v>
      </c>
      <c r="D26" s="8">
        <f t="shared" si="1"/>
        <v>4</v>
      </c>
      <c r="E26" s="9"/>
      <c r="F26" s="6" t="s">
        <v>15</v>
      </c>
      <c r="G26" s="6" t="s">
        <v>16</v>
      </c>
      <c r="H26" s="6" t="s">
        <v>313</v>
      </c>
      <c r="I26" s="6" t="s">
        <v>12</v>
      </c>
      <c r="J26" s="6" t="s">
        <v>14</v>
      </c>
      <c r="K26" s="14" t="s">
        <v>14</v>
      </c>
      <c r="L26" s="6" t="s">
        <v>17</v>
      </c>
      <c r="M26" s="6" t="s">
        <v>14</v>
      </c>
      <c r="N26" s="6" t="s">
        <v>16</v>
      </c>
    </row>
    <row r="27" ht="12.75" customHeight="1">
      <c r="B27" s="6" t="s">
        <v>18</v>
      </c>
      <c r="C27" s="7" t="s">
        <v>314</v>
      </c>
      <c r="D27" s="8">
        <f t="shared" si="1"/>
        <v>4</v>
      </c>
      <c r="E27" s="9"/>
      <c r="F27" s="6" t="s">
        <v>17</v>
      </c>
      <c r="G27" s="6" t="s">
        <v>16</v>
      </c>
      <c r="H27" s="76" t="s">
        <v>13</v>
      </c>
      <c r="I27" s="6" t="s">
        <v>14</v>
      </c>
      <c r="J27" s="6" t="s">
        <v>14</v>
      </c>
      <c r="K27" s="15" t="s">
        <v>66</v>
      </c>
      <c r="L27" s="6" t="s">
        <v>12</v>
      </c>
      <c r="M27" s="6" t="s">
        <v>14</v>
      </c>
      <c r="N27" s="6" t="s">
        <v>16</v>
      </c>
      <c r="O27" s="57"/>
    </row>
    <row r="28" ht="12.75" customHeight="1">
      <c r="B28" s="12" t="s">
        <v>19</v>
      </c>
      <c r="C28" s="7" t="s">
        <v>315</v>
      </c>
      <c r="D28" s="8">
        <f t="shared" si="1"/>
        <v>4</v>
      </c>
      <c r="E28" s="13"/>
      <c r="F28" s="39" t="s">
        <v>12</v>
      </c>
      <c r="G28" s="39" t="s">
        <v>16</v>
      </c>
      <c r="H28" s="39" t="s">
        <v>14</v>
      </c>
      <c r="I28" s="15" t="s">
        <v>66</v>
      </c>
      <c r="J28" s="39" t="s">
        <v>14</v>
      </c>
      <c r="K28" s="6" t="s">
        <v>17</v>
      </c>
      <c r="L28" s="39" t="s">
        <v>14</v>
      </c>
      <c r="M28" s="6" t="s">
        <v>14</v>
      </c>
      <c r="N28" s="6" t="s">
        <v>16</v>
      </c>
      <c r="O28" s="75" t="s">
        <v>20</v>
      </c>
    </row>
    <row r="29" ht="12.75" customHeight="1">
      <c r="B29" s="6" t="s">
        <v>21</v>
      </c>
      <c r="C29" s="7" t="s">
        <v>316</v>
      </c>
      <c r="D29" s="8">
        <f t="shared" si="1"/>
        <v>4</v>
      </c>
      <c r="E29" s="21"/>
      <c r="F29" s="40" t="s">
        <v>42</v>
      </c>
      <c r="G29" s="41" t="s">
        <v>16</v>
      </c>
      <c r="H29" s="41" t="s">
        <v>15</v>
      </c>
      <c r="I29" s="6" t="s">
        <v>14</v>
      </c>
      <c r="J29" s="41" t="s">
        <v>17</v>
      </c>
      <c r="K29" s="6" t="s">
        <v>12</v>
      </c>
      <c r="L29" s="41" t="s">
        <v>317</v>
      </c>
      <c r="M29" s="6" t="s">
        <v>14</v>
      </c>
      <c r="N29" s="6" t="s">
        <v>16</v>
      </c>
    </row>
    <row r="30" ht="12.75" customHeight="1">
      <c r="B30" s="6" t="s">
        <v>26</v>
      </c>
      <c r="C30" s="7" t="s">
        <v>318</v>
      </c>
      <c r="D30" s="8">
        <f t="shared" si="1"/>
        <v>4</v>
      </c>
      <c r="E30" s="21"/>
      <c r="F30" s="41" t="s">
        <v>14</v>
      </c>
      <c r="G30" s="41" t="s">
        <v>16</v>
      </c>
      <c r="H30" s="41" t="s">
        <v>17</v>
      </c>
      <c r="I30" s="6" t="s">
        <v>15</v>
      </c>
      <c r="J30" s="41" t="s">
        <v>12</v>
      </c>
      <c r="K30" s="6" t="s">
        <v>319</v>
      </c>
      <c r="L30" s="41" t="s">
        <v>14</v>
      </c>
      <c r="M30" s="6" t="s">
        <v>14</v>
      </c>
      <c r="N30" s="6" t="s">
        <v>16</v>
      </c>
    </row>
    <row r="31" ht="12.75" customHeight="1">
      <c r="B31" s="24" t="s">
        <v>28</v>
      </c>
      <c r="C31" s="7" t="s">
        <v>320</v>
      </c>
      <c r="D31" s="63">
        <f t="shared" si="1"/>
        <v>3</v>
      </c>
      <c r="E31" s="19"/>
      <c r="F31" s="43" t="s">
        <v>22</v>
      </c>
      <c r="G31" s="43" t="s">
        <v>16</v>
      </c>
      <c r="H31" s="43" t="s">
        <v>12</v>
      </c>
      <c r="I31" s="17" t="s">
        <v>17</v>
      </c>
      <c r="J31" s="43" t="s">
        <v>14</v>
      </c>
      <c r="K31" s="17" t="s">
        <v>15</v>
      </c>
      <c r="L31" s="43" t="s">
        <v>14</v>
      </c>
      <c r="M31" s="17" t="s">
        <v>22</v>
      </c>
      <c r="N31" s="17" t="s">
        <v>16</v>
      </c>
    </row>
    <row r="32" ht="12.75" customHeight="1">
      <c r="B32" s="24" t="s">
        <v>32</v>
      </c>
      <c r="C32" s="7" t="s">
        <v>321</v>
      </c>
      <c r="D32" s="63">
        <f t="shared" si="1"/>
        <v>1</v>
      </c>
      <c r="E32" s="19"/>
      <c r="F32" s="43" t="s">
        <v>22</v>
      </c>
      <c r="G32" s="43" t="s">
        <v>22</v>
      </c>
      <c r="H32" s="43"/>
      <c r="I32" s="17" t="s">
        <v>12</v>
      </c>
      <c r="J32" s="43" t="s">
        <v>15</v>
      </c>
      <c r="K32" s="17"/>
      <c r="L32" s="43" t="s">
        <v>17</v>
      </c>
      <c r="M32" s="17" t="s">
        <v>22</v>
      </c>
      <c r="N32" s="17" t="s">
        <v>22</v>
      </c>
    </row>
    <row r="33" ht="12.75" customHeight="1">
      <c r="B33" s="25" t="s">
        <v>35</v>
      </c>
      <c r="C33" s="26"/>
      <c r="D33" s="8">
        <f t="shared" si="1"/>
        <v>0</v>
      </c>
      <c r="E33" s="27"/>
      <c r="F33" s="28">
        <f t="shared" ref="F33:N33" si="5">COUNTIF(F26:F32,$Q$6)*$S$6+COUNTIF(F26:F32,$Q$7)*$S$7+COUNTIF(F26:F32,$Q$8)*$S$8+COUNTIF(F26:F32,$Q$9)*$S$9+COUNTIF(F26:F32,$Q$10)*$S$10+COUNTIF(F26:F32,$Q$11)*$S$11+COUNTIF(F26:F32,$Q$12)*$S$12+COUNTIF(F26:F32,$Q$13)*$S$13+COUNTIF(F26:F32,$Q$14)*$S$14+COUNTIF(F26:F32,$Q$15)*$S$15+COUNTIF(F26:F32,$Q$16)*$S$16</f>
        <v>39</v>
      </c>
      <c r="G33" s="28">
        <f t="shared" si="5"/>
        <v>37.98</v>
      </c>
      <c r="H33" s="28">
        <f t="shared" si="5"/>
        <v>35</v>
      </c>
      <c r="I33" s="28">
        <f t="shared" si="5"/>
        <v>34</v>
      </c>
      <c r="J33" s="28">
        <f t="shared" si="5"/>
        <v>44</v>
      </c>
      <c r="K33" s="28">
        <f t="shared" si="5"/>
        <v>29</v>
      </c>
      <c r="L33" s="28">
        <f t="shared" si="5"/>
        <v>39</v>
      </c>
      <c r="M33" s="28">
        <f t="shared" si="5"/>
        <v>25</v>
      </c>
      <c r="N33" s="28">
        <f t="shared" si="5"/>
        <v>37.98</v>
      </c>
    </row>
    <row r="34" ht="12.75" customHeight="1">
      <c r="B34" s="6" t="s">
        <v>10</v>
      </c>
      <c r="C34" s="7" t="s">
        <v>322</v>
      </c>
      <c r="D34" s="8">
        <f t="shared" si="1"/>
        <v>4</v>
      </c>
      <c r="E34" s="9"/>
      <c r="F34" s="6" t="s">
        <v>14</v>
      </c>
      <c r="G34" s="6" t="s">
        <v>16</v>
      </c>
      <c r="H34" s="6" t="s">
        <v>15</v>
      </c>
      <c r="I34" s="6" t="s">
        <v>14</v>
      </c>
      <c r="J34" s="6" t="s">
        <v>323</v>
      </c>
      <c r="K34" s="6" t="s">
        <v>14</v>
      </c>
      <c r="L34" s="6" t="s">
        <v>12</v>
      </c>
      <c r="M34" s="6" t="s">
        <v>16</v>
      </c>
      <c r="N34" s="6" t="s">
        <v>17</v>
      </c>
      <c r="Q34" s="45"/>
      <c r="R34" s="45"/>
    </row>
    <row r="35" ht="12.75" customHeight="1">
      <c r="B35" s="6" t="s">
        <v>18</v>
      </c>
      <c r="C35" s="7" t="s">
        <v>324</v>
      </c>
      <c r="D35" s="8">
        <f t="shared" si="1"/>
        <v>4</v>
      </c>
      <c r="E35" s="9"/>
      <c r="F35" s="15" t="s">
        <v>20</v>
      </c>
      <c r="G35" s="6" t="s">
        <v>15</v>
      </c>
      <c r="H35" s="6" t="s">
        <v>17</v>
      </c>
      <c r="I35" s="6" t="s">
        <v>325</v>
      </c>
      <c r="J35" s="6" t="s">
        <v>14</v>
      </c>
      <c r="K35" s="6" t="s">
        <v>14</v>
      </c>
      <c r="L35" s="10" t="s">
        <v>13</v>
      </c>
      <c r="M35" s="6" t="s">
        <v>16</v>
      </c>
      <c r="N35" s="6" t="s">
        <v>12</v>
      </c>
      <c r="Q35" s="45"/>
      <c r="R35" s="45"/>
    </row>
    <row r="36" ht="12.75" customHeight="1">
      <c r="B36" s="12" t="s">
        <v>19</v>
      </c>
      <c r="C36" s="7" t="s">
        <v>326</v>
      </c>
      <c r="D36" s="8">
        <f t="shared" si="1"/>
        <v>4</v>
      </c>
      <c r="E36" s="13"/>
      <c r="F36" s="39" t="s">
        <v>14</v>
      </c>
      <c r="G36" s="6" t="s">
        <v>17</v>
      </c>
      <c r="H36" s="39" t="s">
        <v>12</v>
      </c>
      <c r="I36" s="39" t="s">
        <v>14</v>
      </c>
      <c r="J36" s="39" t="s">
        <v>15</v>
      </c>
      <c r="K36" s="6" t="s">
        <v>14</v>
      </c>
      <c r="L36" s="39" t="s">
        <v>22</v>
      </c>
      <c r="M36" s="6" t="s">
        <v>16</v>
      </c>
      <c r="N36" s="6" t="s">
        <v>14</v>
      </c>
      <c r="Q36" s="45"/>
      <c r="R36" s="45"/>
    </row>
    <row r="37" ht="12.75" customHeight="1">
      <c r="B37" s="6" t="s">
        <v>21</v>
      </c>
      <c r="C37" s="7" t="s">
        <v>327</v>
      </c>
      <c r="D37" s="8">
        <f t="shared" si="1"/>
        <v>4</v>
      </c>
      <c r="E37" s="21"/>
      <c r="F37" s="39" t="s">
        <v>14</v>
      </c>
      <c r="G37" s="6" t="s">
        <v>12</v>
      </c>
      <c r="H37" s="41" t="s">
        <v>14</v>
      </c>
      <c r="I37" s="41" t="s">
        <v>15</v>
      </c>
      <c r="J37" s="41" t="s">
        <v>17</v>
      </c>
      <c r="K37" s="15" t="s">
        <v>48</v>
      </c>
      <c r="L37" s="41" t="s">
        <v>14</v>
      </c>
      <c r="M37" s="6" t="s">
        <v>16</v>
      </c>
      <c r="N37" s="6" t="s">
        <v>14</v>
      </c>
      <c r="O37" s="75" t="s">
        <v>20</v>
      </c>
      <c r="Q37" s="45"/>
      <c r="R37" s="45"/>
    </row>
    <row r="38" ht="12.75" customHeight="1">
      <c r="B38" s="6" t="s">
        <v>26</v>
      </c>
      <c r="C38" s="7" t="s">
        <v>328</v>
      </c>
      <c r="D38" s="8">
        <f t="shared" si="1"/>
        <v>4</v>
      </c>
      <c r="E38" s="21"/>
      <c r="F38" s="38" t="s">
        <v>20</v>
      </c>
      <c r="G38" s="76" t="s">
        <v>39</v>
      </c>
      <c r="H38" s="41" t="s">
        <v>14</v>
      </c>
      <c r="I38" s="41" t="s">
        <v>17</v>
      </c>
      <c r="J38" s="41" t="s">
        <v>12</v>
      </c>
      <c r="K38" s="6" t="s">
        <v>15</v>
      </c>
      <c r="L38" s="41" t="s">
        <v>14</v>
      </c>
      <c r="M38" s="6" t="s">
        <v>16</v>
      </c>
      <c r="N38" s="6" t="s">
        <v>15</v>
      </c>
      <c r="O38" s="67" t="s">
        <v>329</v>
      </c>
      <c r="P38" s="75" t="s">
        <v>20</v>
      </c>
      <c r="Q38" s="45"/>
      <c r="R38" s="45"/>
    </row>
    <row r="39" ht="12.75" customHeight="1">
      <c r="B39" s="24" t="s">
        <v>28</v>
      </c>
      <c r="C39" s="7" t="s">
        <v>330</v>
      </c>
      <c r="D39" s="63">
        <f t="shared" si="1"/>
        <v>3</v>
      </c>
      <c r="E39" s="19"/>
      <c r="F39" s="43" t="s">
        <v>15</v>
      </c>
      <c r="G39" s="17" t="s">
        <v>22</v>
      </c>
      <c r="H39" s="43" t="s">
        <v>22</v>
      </c>
      <c r="I39" s="43" t="s">
        <v>12</v>
      </c>
      <c r="J39" s="43" t="s">
        <v>14</v>
      </c>
      <c r="K39" s="17" t="s">
        <v>22</v>
      </c>
      <c r="L39" s="43" t="s">
        <v>14</v>
      </c>
      <c r="M39" s="17" t="s">
        <v>16</v>
      </c>
      <c r="N39" s="17" t="s">
        <v>17</v>
      </c>
      <c r="Q39" s="16"/>
      <c r="R39" s="16"/>
    </row>
    <row r="40" ht="12.75" customHeight="1">
      <c r="B40" s="24" t="s">
        <v>32</v>
      </c>
      <c r="C40" s="7" t="s">
        <v>331</v>
      </c>
      <c r="D40" s="63">
        <f t="shared" si="1"/>
        <v>1</v>
      </c>
      <c r="E40" s="19"/>
      <c r="F40" s="43"/>
      <c r="G40" s="43" t="s">
        <v>22</v>
      </c>
      <c r="H40" s="43" t="s">
        <v>22</v>
      </c>
      <c r="I40" s="43"/>
      <c r="J40" s="43" t="s">
        <v>17</v>
      </c>
      <c r="K40" s="17" t="s">
        <v>22</v>
      </c>
      <c r="L40" s="43" t="s">
        <v>15</v>
      </c>
      <c r="M40" s="17" t="s">
        <v>22</v>
      </c>
      <c r="N40" s="17" t="s">
        <v>12</v>
      </c>
      <c r="Q40" s="16"/>
      <c r="R40" s="16"/>
    </row>
    <row r="41" ht="12.75" customHeight="1">
      <c r="B41" s="25" t="s">
        <v>35</v>
      </c>
      <c r="C41" s="26"/>
      <c r="D41" s="8"/>
      <c r="E41" s="27"/>
      <c r="F41" s="28">
        <f t="shared" ref="F41:N41" si="6">COUNTIF(F34:F40,$Q$6)*$S$6+COUNTIF(F34:F40,$Q$7)*$S$7+COUNTIF(F34:F40,$Q$8)*$S$8+COUNTIF(F34:F40,$Q$9)*$S$9+COUNTIF(F34:F40,$Q$10)*$S$10+COUNTIF(F34:F40,$Q$11)*$S$11+COUNTIF(F34:F40,$Q$12)*$S$12+COUNTIF(F34:F40,$Q$13)*$S$13+COUNTIF(F34:F40,$Q$14)*$S$14+COUNTIF(F34:F40,$Q$15)*$S$15+COUNTIF(F34:F40,$Q$16)*$S$16</f>
        <v>37</v>
      </c>
      <c r="G41" s="28">
        <f t="shared" si="6"/>
        <v>37.33</v>
      </c>
      <c r="H41" s="28">
        <f t="shared" si="6"/>
        <v>34</v>
      </c>
      <c r="I41" s="28">
        <f t="shared" si="6"/>
        <v>34</v>
      </c>
      <c r="J41" s="28">
        <f t="shared" si="6"/>
        <v>46</v>
      </c>
      <c r="K41" s="28">
        <f t="shared" si="6"/>
        <v>37</v>
      </c>
      <c r="L41" s="28">
        <f t="shared" si="6"/>
        <v>33</v>
      </c>
      <c r="M41" s="28">
        <f t="shared" si="6"/>
        <v>37.98</v>
      </c>
      <c r="N41" s="28">
        <f t="shared" si="6"/>
        <v>46</v>
      </c>
      <c r="Q41" s="16"/>
      <c r="R41" s="16"/>
    </row>
    <row r="42" ht="12.75" customHeight="1">
      <c r="B42" s="50" t="s">
        <v>92</v>
      </c>
      <c r="C42" s="26"/>
      <c r="D42" s="51" t="s">
        <v>93</v>
      </c>
      <c r="E42" s="26"/>
      <c r="F42" s="29">
        <f t="shared" ref="F42:N42" si="7">(F9+F17+F25+F33+F33+F41)</f>
        <v>230</v>
      </c>
      <c r="G42" s="29">
        <f t="shared" si="7"/>
        <v>223.27</v>
      </c>
      <c r="H42" s="29">
        <f t="shared" si="7"/>
        <v>220.65</v>
      </c>
      <c r="I42" s="29">
        <f t="shared" si="7"/>
        <v>216.31</v>
      </c>
      <c r="J42" s="29">
        <f t="shared" si="7"/>
        <v>245</v>
      </c>
      <c r="K42" s="29">
        <f t="shared" si="7"/>
        <v>212</v>
      </c>
      <c r="L42" s="29">
        <f t="shared" si="7"/>
        <v>231</v>
      </c>
      <c r="M42" s="29">
        <f t="shared" si="7"/>
        <v>160.64</v>
      </c>
      <c r="N42" s="29">
        <f t="shared" si="7"/>
        <v>236.27</v>
      </c>
      <c r="Q42" s="16"/>
      <c r="R42" s="16"/>
    </row>
    <row r="43" ht="12.75" customHeight="1">
      <c r="D43" s="57"/>
      <c r="E43" s="57"/>
      <c r="F43" s="54" t="s">
        <v>1</v>
      </c>
      <c r="G43" s="54" t="s">
        <v>2</v>
      </c>
      <c r="H43" s="54" t="s">
        <v>3</v>
      </c>
      <c r="I43" s="54" t="s">
        <v>4</v>
      </c>
      <c r="J43" s="54" t="s">
        <v>5</v>
      </c>
      <c r="K43" s="54" t="s">
        <v>6</v>
      </c>
      <c r="L43" s="54" t="s">
        <v>7</v>
      </c>
      <c r="M43" s="54" t="s">
        <v>9</v>
      </c>
      <c r="N43" s="54" t="s">
        <v>8</v>
      </c>
      <c r="Q43" s="16"/>
      <c r="R43" s="16"/>
    </row>
    <row r="44" ht="12.75" customHeight="1">
      <c r="Q44" s="16"/>
      <c r="R44" s="16"/>
    </row>
    <row r="45" ht="12.75" customHeight="1">
      <c r="E45" s="55" t="s">
        <v>15</v>
      </c>
      <c r="F45" s="55">
        <v>4.0</v>
      </c>
      <c r="G45" s="55">
        <v>3.0</v>
      </c>
      <c r="H45" s="55">
        <v>4.0</v>
      </c>
      <c r="I45" s="55">
        <v>4.0</v>
      </c>
      <c r="J45" s="55">
        <v>5.0</v>
      </c>
      <c r="K45" s="55">
        <v>4.0</v>
      </c>
      <c r="L45" s="55">
        <v>4.0</v>
      </c>
      <c r="N45" s="67">
        <v>2.0</v>
      </c>
      <c r="Q45" s="16"/>
      <c r="R45" s="16"/>
    </row>
    <row r="46" ht="12.75" customHeight="1">
      <c r="E46" s="55" t="s">
        <v>17</v>
      </c>
      <c r="F46" s="55">
        <v>3.0</v>
      </c>
      <c r="G46" s="55">
        <v>2.0</v>
      </c>
      <c r="H46" s="55">
        <v>5.0</v>
      </c>
      <c r="I46" s="55">
        <v>4.0</v>
      </c>
      <c r="J46" s="55">
        <v>3.0</v>
      </c>
      <c r="K46" s="55">
        <v>5.0</v>
      </c>
      <c r="L46" s="55">
        <v>5.0</v>
      </c>
      <c r="N46" s="67">
        <v>3.0</v>
      </c>
      <c r="Q46" s="16"/>
      <c r="R46" s="16"/>
    </row>
    <row r="47" ht="12.75" customHeight="1">
      <c r="Q47" s="16"/>
      <c r="R47" s="16"/>
    </row>
    <row r="48" ht="12.75" customHeight="1">
      <c r="Q48" s="16"/>
      <c r="R48" s="16"/>
    </row>
    <row r="49" ht="12.75" customHeight="1">
      <c r="Q49" s="16"/>
      <c r="R49" s="16"/>
    </row>
    <row r="50" ht="12.75" customHeight="1">
      <c r="Q50" s="16"/>
      <c r="R50" s="16"/>
    </row>
    <row r="51" ht="12.75" customHeight="1">
      <c r="A51" s="16"/>
      <c r="Q51" s="16"/>
      <c r="R51" s="16"/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B9:C9"/>
    <mergeCell ref="B17:C17"/>
    <mergeCell ref="B25:C25"/>
    <mergeCell ref="B33:C33"/>
    <mergeCell ref="B41:C41"/>
    <mergeCell ref="B42:C42"/>
    <mergeCell ref="D42:E42"/>
  </mergeCells>
  <printOptions/>
  <pageMargins bottom="0.0" footer="0.0" header="0.0" left="0.0" right="0.0" top="0.236111111111111"/>
  <pageSetup paperSize="9" scale="92" orientation="portrait"/>
  <headerFooter>
    <oddHeader>&amp;Cffffff&amp;A</oddHeader>
    <oddFooter>&amp;CffffffPagina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0.0"/>
    <col customWidth="1" min="6" max="6" width="11.5"/>
    <col customWidth="1" min="7" max="8" width="10.0"/>
    <col customWidth="1" min="9" max="9" width="11.38"/>
    <col customWidth="1" min="10" max="26" width="10.0"/>
  </cols>
  <sheetData>
    <row r="1" ht="12.75" customHeight="1">
      <c r="D1" s="1" t="s">
        <v>0</v>
      </c>
      <c r="E1" s="2"/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9</v>
      </c>
      <c r="N1" s="3" t="s">
        <v>8</v>
      </c>
      <c r="O1" s="5"/>
      <c r="P1" s="5"/>
      <c r="Q1" s="5"/>
      <c r="R1" s="5"/>
    </row>
    <row r="2" ht="12.75" customHeight="1">
      <c r="B2" s="6" t="s">
        <v>10</v>
      </c>
      <c r="C2" s="7">
        <v>46174.0</v>
      </c>
      <c r="D2" s="8">
        <f t="shared" ref="D2:D40" si="1">COUNTIF(E2:N2,$Q$6)*$T$6+COUNTIF(E2:N2,$Q$7)*$T$7+COUNTIF(E2:N2,$Q$9)*$T$9+COUNTIF(E2:N2,$Q$10)*$T$10+COUNTIF(E2:N2,$Q$11)*$T$11</f>
        <v>4</v>
      </c>
      <c r="E2" s="9"/>
      <c r="F2" s="6" t="s">
        <v>14</v>
      </c>
      <c r="G2" s="6" t="s">
        <v>12</v>
      </c>
      <c r="H2" s="6" t="s">
        <v>16</v>
      </c>
      <c r="I2" s="6" t="s">
        <v>281</v>
      </c>
      <c r="J2" s="6" t="s">
        <v>15</v>
      </c>
      <c r="K2" s="6" t="s">
        <v>17</v>
      </c>
      <c r="L2" s="6" t="s">
        <v>14</v>
      </c>
      <c r="M2" s="6" t="s">
        <v>14</v>
      </c>
      <c r="N2" s="6" t="s">
        <v>282</v>
      </c>
    </row>
    <row r="3" ht="12.75" customHeight="1">
      <c r="B3" s="6" t="s">
        <v>18</v>
      </c>
      <c r="C3" s="7">
        <v>46175.0</v>
      </c>
      <c r="D3" s="8">
        <f t="shared" si="1"/>
        <v>1</v>
      </c>
      <c r="E3" s="30"/>
      <c r="F3" s="17"/>
      <c r="G3" s="17"/>
      <c r="H3" s="17" t="s">
        <v>22</v>
      </c>
      <c r="I3" s="17" t="s">
        <v>22</v>
      </c>
      <c r="J3" s="17"/>
      <c r="K3" s="17" t="s">
        <v>12</v>
      </c>
      <c r="L3" s="17" t="s">
        <v>15</v>
      </c>
      <c r="M3" s="17" t="s">
        <v>22</v>
      </c>
      <c r="N3" s="17" t="s">
        <v>17</v>
      </c>
    </row>
    <row r="4" ht="12.75" customHeight="1">
      <c r="B4" s="12" t="s">
        <v>19</v>
      </c>
      <c r="C4" s="7">
        <v>46176.0</v>
      </c>
      <c r="D4" s="8">
        <f t="shared" si="1"/>
        <v>4</v>
      </c>
      <c r="E4" s="13"/>
      <c r="F4" s="38" t="s">
        <v>20</v>
      </c>
      <c r="G4" s="6" t="s">
        <v>17</v>
      </c>
      <c r="H4" s="39" t="s">
        <v>16</v>
      </c>
      <c r="I4" s="39" t="s">
        <v>15</v>
      </c>
      <c r="J4" s="74" t="s">
        <v>39</v>
      </c>
      <c r="K4" s="6" t="s">
        <v>285</v>
      </c>
      <c r="L4" s="39" t="s">
        <v>14</v>
      </c>
      <c r="M4" s="6" t="s">
        <v>14</v>
      </c>
      <c r="N4" s="6" t="s">
        <v>12</v>
      </c>
      <c r="O4" s="75" t="s">
        <v>20</v>
      </c>
    </row>
    <row r="5" ht="12.75" customHeight="1">
      <c r="B5" s="12" t="s">
        <v>21</v>
      </c>
      <c r="C5" s="7">
        <v>46177.0</v>
      </c>
      <c r="D5" s="8">
        <f t="shared" si="1"/>
        <v>5</v>
      </c>
      <c r="E5" s="21"/>
      <c r="F5" s="41" t="s">
        <v>14</v>
      </c>
      <c r="G5" s="6" t="s">
        <v>12</v>
      </c>
      <c r="H5" s="41" t="s">
        <v>16</v>
      </c>
      <c r="I5" s="6" t="s">
        <v>17</v>
      </c>
      <c r="J5" s="41" t="s">
        <v>15</v>
      </c>
      <c r="K5" s="15" t="s">
        <v>42</v>
      </c>
      <c r="L5" s="42" t="s">
        <v>14</v>
      </c>
      <c r="M5" s="14" t="s">
        <v>52</v>
      </c>
      <c r="N5" s="76" t="s">
        <v>13</v>
      </c>
      <c r="Q5" s="20" t="s">
        <v>23</v>
      </c>
      <c r="R5" s="20"/>
      <c r="S5" s="20" t="s">
        <v>24</v>
      </c>
      <c r="T5" s="20" t="s">
        <v>25</v>
      </c>
    </row>
    <row r="6" ht="12.75" customHeight="1">
      <c r="B6" s="12" t="s">
        <v>26</v>
      </c>
      <c r="C6" s="7">
        <v>46178.0</v>
      </c>
      <c r="D6" s="77">
        <f t="shared" si="1"/>
        <v>5</v>
      </c>
      <c r="E6" s="78"/>
      <c r="F6" s="41" t="s">
        <v>15</v>
      </c>
      <c r="G6" s="76" t="s">
        <v>39</v>
      </c>
      <c r="H6" s="41" t="s">
        <v>16</v>
      </c>
      <c r="I6" s="6" t="s">
        <v>12</v>
      </c>
      <c r="J6" s="42" t="s">
        <v>14</v>
      </c>
      <c r="K6" s="6" t="s">
        <v>22</v>
      </c>
      <c r="L6" s="41" t="s">
        <v>17</v>
      </c>
      <c r="M6" s="6" t="s">
        <v>14</v>
      </c>
      <c r="N6" s="6" t="s">
        <v>14</v>
      </c>
      <c r="O6" s="16" t="s">
        <v>288</v>
      </c>
      <c r="Q6" s="22" t="s">
        <v>14</v>
      </c>
      <c r="R6" s="22" t="s">
        <v>27</v>
      </c>
      <c r="S6" s="23">
        <v>5.0</v>
      </c>
      <c r="T6" s="23">
        <v>1.0</v>
      </c>
    </row>
    <row r="7" ht="12.75" customHeight="1">
      <c r="B7" s="24" t="s">
        <v>28</v>
      </c>
      <c r="C7" s="7">
        <v>46179.0</v>
      </c>
      <c r="D7" s="18">
        <f t="shared" si="1"/>
        <v>3</v>
      </c>
      <c r="E7" s="19"/>
      <c r="F7" s="42" t="s">
        <v>17</v>
      </c>
      <c r="G7" s="24" t="s">
        <v>14</v>
      </c>
      <c r="H7" s="43" t="s">
        <v>16</v>
      </c>
      <c r="I7" s="17" t="s">
        <v>16</v>
      </c>
      <c r="J7" s="42" t="s">
        <v>22</v>
      </c>
      <c r="K7" s="17" t="s">
        <v>14</v>
      </c>
      <c r="L7" s="43" t="s">
        <v>12</v>
      </c>
      <c r="M7" s="43" t="s">
        <v>22</v>
      </c>
      <c r="N7" s="17" t="s">
        <v>15</v>
      </c>
      <c r="Q7" s="22" t="s">
        <v>15</v>
      </c>
      <c r="R7" s="22" t="s">
        <v>31</v>
      </c>
      <c r="S7" s="23">
        <v>12.0</v>
      </c>
      <c r="T7" s="23">
        <v>1.0</v>
      </c>
    </row>
    <row r="8" ht="12.75" customHeight="1">
      <c r="B8" s="24" t="s">
        <v>32</v>
      </c>
      <c r="C8" s="7">
        <v>46180.0</v>
      </c>
      <c r="D8" s="18">
        <f t="shared" si="1"/>
        <v>1</v>
      </c>
      <c r="E8" s="19"/>
      <c r="F8" s="42" t="s">
        <v>12</v>
      </c>
      <c r="G8" s="24" t="s">
        <v>15</v>
      </c>
      <c r="H8" s="43" t="s">
        <v>22</v>
      </c>
      <c r="I8" s="17" t="s">
        <v>22</v>
      </c>
      <c r="J8" s="42" t="s">
        <v>22</v>
      </c>
      <c r="K8" s="43" t="s">
        <v>17</v>
      </c>
      <c r="L8" s="43" t="s">
        <v>22</v>
      </c>
      <c r="M8" s="43" t="s">
        <v>22</v>
      </c>
      <c r="N8" s="17" t="s">
        <v>22</v>
      </c>
      <c r="Q8" s="22" t="s">
        <v>17</v>
      </c>
      <c r="R8" s="22" t="s">
        <v>33</v>
      </c>
      <c r="S8" s="23">
        <v>12.0</v>
      </c>
      <c r="T8" s="22" t="s">
        <v>34</v>
      </c>
    </row>
    <row r="9" ht="12.75" customHeight="1">
      <c r="B9" s="25" t="s">
        <v>35</v>
      </c>
      <c r="C9" s="26"/>
      <c r="D9" s="8">
        <f t="shared" si="1"/>
        <v>0</v>
      </c>
      <c r="E9" s="27"/>
      <c r="F9" s="65">
        <f t="shared" ref="F9:N9" si="2">COUNTIF(F2:F8,$Q$6)*$S$6+COUNTIF(F2:F8,$Q$7)*$S$7+COUNTIF(F2:F8,$Q$8)*$S$8+COUNTIF(F2:F8,$Q$9)*$S$9+COUNTIF(F2:F8,$Q$10)*$S$10+COUNTIF(F2:F8,$Q$11)*$S$11+COUNTIF(F2:F8,$Q$12)*$S$12+COUNTIF(F2:F8,$Q$13)*$S$13+COUNTIF(F2:F8,$Q$14)*$S$14+COUNTIF(F2:F8,$Q$15)*$S$15+COUNTIF(F2:F8,$Q$16)*$S$16</f>
        <v>39</v>
      </c>
      <c r="G9" s="28">
        <f t="shared" si="2"/>
        <v>36</v>
      </c>
      <c r="H9" s="28">
        <f t="shared" si="2"/>
        <v>31.65</v>
      </c>
      <c r="I9" s="28">
        <f t="shared" si="2"/>
        <v>30.33</v>
      </c>
      <c r="J9" s="28">
        <f t="shared" si="2"/>
        <v>36</v>
      </c>
      <c r="K9" s="28">
        <f t="shared" si="2"/>
        <v>39</v>
      </c>
      <c r="L9" s="28">
        <f t="shared" si="2"/>
        <v>39</v>
      </c>
      <c r="M9" s="28">
        <f t="shared" si="2"/>
        <v>21.33</v>
      </c>
      <c r="N9" s="28">
        <f t="shared" si="2"/>
        <v>35</v>
      </c>
      <c r="Q9" s="22" t="s">
        <v>13</v>
      </c>
      <c r="R9" s="22" t="s">
        <v>36</v>
      </c>
      <c r="S9" s="23">
        <v>6.0</v>
      </c>
      <c r="T9" s="23">
        <v>1.0</v>
      </c>
    </row>
    <row r="10" ht="12.75" customHeight="1">
      <c r="B10" s="6" t="s">
        <v>10</v>
      </c>
      <c r="C10" s="7">
        <v>46181.0</v>
      </c>
      <c r="D10" s="8">
        <f t="shared" si="1"/>
        <v>5</v>
      </c>
      <c r="E10" s="9"/>
      <c r="F10" s="14" t="s">
        <v>14</v>
      </c>
      <c r="G10" s="6" t="s">
        <v>292</v>
      </c>
      <c r="H10" s="6" t="s">
        <v>17</v>
      </c>
      <c r="I10" s="6" t="s">
        <v>16</v>
      </c>
      <c r="J10" s="14" t="s">
        <v>14</v>
      </c>
      <c r="K10" s="6" t="s">
        <v>12</v>
      </c>
      <c r="L10" s="6" t="s">
        <v>15</v>
      </c>
      <c r="M10" s="6" t="s">
        <v>14</v>
      </c>
      <c r="N10" s="76" t="s">
        <v>13</v>
      </c>
      <c r="O10" s="57"/>
      <c r="Q10" s="22" t="s">
        <v>39</v>
      </c>
      <c r="R10" s="22" t="s">
        <v>40</v>
      </c>
      <c r="S10" s="23">
        <v>7.0</v>
      </c>
      <c r="T10" s="23">
        <v>1.0</v>
      </c>
    </row>
    <row r="11" ht="12.75" customHeight="1">
      <c r="B11" s="12" t="s">
        <v>18</v>
      </c>
      <c r="C11" s="7">
        <v>46182.0</v>
      </c>
      <c r="D11" s="8">
        <f t="shared" si="1"/>
        <v>5</v>
      </c>
      <c r="E11" s="9"/>
      <c r="F11" s="6" t="s">
        <v>15</v>
      </c>
      <c r="G11" s="6" t="s">
        <v>14</v>
      </c>
      <c r="H11" s="6" t="s">
        <v>12</v>
      </c>
      <c r="I11" s="6" t="s">
        <v>16</v>
      </c>
      <c r="J11" s="6" t="s">
        <v>14</v>
      </c>
      <c r="K11" s="15" t="s">
        <v>20</v>
      </c>
      <c r="L11" s="11" t="s">
        <v>17</v>
      </c>
      <c r="M11" s="6" t="s">
        <v>14</v>
      </c>
      <c r="N11" s="6" t="s">
        <v>14</v>
      </c>
      <c r="Q11" s="22" t="s">
        <v>42</v>
      </c>
      <c r="R11" s="22" t="s">
        <v>43</v>
      </c>
      <c r="S11" s="23">
        <v>10.0</v>
      </c>
      <c r="T11" s="23">
        <v>1.0</v>
      </c>
    </row>
    <row r="12" ht="12.75" customHeight="1">
      <c r="B12" s="12" t="s">
        <v>19</v>
      </c>
      <c r="C12" s="7">
        <v>46183.0</v>
      </c>
      <c r="D12" s="8">
        <f t="shared" si="1"/>
        <v>5</v>
      </c>
      <c r="E12" s="9"/>
      <c r="F12" s="6" t="s">
        <v>14</v>
      </c>
      <c r="G12" s="76" t="s">
        <v>39</v>
      </c>
      <c r="H12" s="11" t="s">
        <v>14</v>
      </c>
      <c r="I12" s="39" t="s">
        <v>16</v>
      </c>
      <c r="J12" s="6" t="s">
        <v>17</v>
      </c>
      <c r="K12" s="6" t="s">
        <v>295</v>
      </c>
      <c r="L12" s="6" t="s">
        <v>12</v>
      </c>
      <c r="M12" s="6" t="s">
        <v>14</v>
      </c>
      <c r="N12" s="6" t="s">
        <v>15</v>
      </c>
      <c r="Q12" s="22" t="s">
        <v>20</v>
      </c>
      <c r="R12" s="22" t="s">
        <v>46</v>
      </c>
      <c r="S12" s="23">
        <v>5.0</v>
      </c>
      <c r="T12" s="22" t="s">
        <v>34</v>
      </c>
    </row>
    <row r="13" ht="12.75" customHeight="1">
      <c r="B13" s="12" t="s">
        <v>21</v>
      </c>
      <c r="C13" s="7">
        <v>46184.0</v>
      </c>
      <c r="D13" s="8">
        <f t="shared" si="1"/>
        <v>4</v>
      </c>
      <c r="E13" s="9"/>
      <c r="F13" s="15" t="s">
        <v>48</v>
      </c>
      <c r="G13" s="6" t="s">
        <v>15</v>
      </c>
      <c r="H13" s="6" t="s">
        <v>297</v>
      </c>
      <c r="I13" s="41" t="s">
        <v>16</v>
      </c>
      <c r="J13" s="6" t="s">
        <v>12</v>
      </c>
      <c r="K13" s="15" t="s">
        <v>42</v>
      </c>
      <c r="L13" s="6" t="s">
        <v>14</v>
      </c>
      <c r="M13" s="6" t="s">
        <v>14</v>
      </c>
      <c r="N13" s="6" t="s">
        <v>17</v>
      </c>
      <c r="O13" s="75" t="s">
        <v>48</v>
      </c>
      <c r="Q13" s="22" t="s">
        <v>48</v>
      </c>
      <c r="R13" s="22" t="s">
        <v>49</v>
      </c>
      <c r="S13" s="23">
        <v>10.0</v>
      </c>
      <c r="T13" s="22" t="s">
        <v>34</v>
      </c>
    </row>
    <row r="14" ht="12.75" customHeight="1">
      <c r="B14" s="12" t="s">
        <v>26</v>
      </c>
      <c r="C14" s="7">
        <v>46185.0</v>
      </c>
      <c r="D14" s="8">
        <f t="shared" si="1"/>
        <v>4</v>
      </c>
      <c r="E14" s="9"/>
      <c r="F14" s="6" t="s">
        <v>14</v>
      </c>
      <c r="G14" s="14" t="s">
        <v>17</v>
      </c>
      <c r="H14" s="6" t="s">
        <v>15</v>
      </c>
      <c r="I14" s="41" t="s">
        <v>16</v>
      </c>
      <c r="J14" s="6" t="s">
        <v>22</v>
      </c>
      <c r="K14" s="6" t="s">
        <v>14</v>
      </c>
      <c r="L14" s="6" t="s">
        <v>306</v>
      </c>
      <c r="M14" s="6" t="s">
        <v>14</v>
      </c>
      <c r="N14" s="6" t="s">
        <v>12</v>
      </c>
      <c r="O14" s="57"/>
      <c r="Q14" s="31" t="s">
        <v>52</v>
      </c>
      <c r="R14" s="31" t="s">
        <v>53</v>
      </c>
      <c r="S14" s="32">
        <v>6.33</v>
      </c>
      <c r="T14" s="32" t="s">
        <v>34</v>
      </c>
    </row>
    <row r="15" ht="12.75" customHeight="1">
      <c r="B15" s="24" t="s">
        <v>28</v>
      </c>
      <c r="C15" s="7">
        <v>46186.0</v>
      </c>
      <c r="D15" s="18">
        <f t="shared" si="1"/>
        <v>3</v>
      </c>
      <c r="E15" s="30"/>
      <c r="F15" s="24" t="s">
        <v>300</v>
      </c>
      <c r="G15" s="17" t="s">
        <v>12</v>
      </c>
      <c r="H15" s="24" t="s">
        <v>14</v>
      </c>
      <c r="I15" s="43" t="s">
        <v>16</v>
      </c>
      <c r="J15" s="17" t="s">
        <v>15</v>
      </c>
      <c r="K15" s="24" t="s">
        <v>14</v>
      </c>
      <c r="L15" s="17" t="s">
        <v>17</v>
      </c>
      <c r="M15" s="17" t="s">
        <v>22</v>
      </c>
      <c r="N15" s="14" t="s">
        <v>16</v>
      </c>
      <c r="Q15" s="31" t="s">
        <v>16</v>
      </c>
      <c r="R15" s="31" t="s">
        <v>57</v>
      </c>
      <c r="S15" s="32">
        <v>6.33</v>
      </c>
      <c r="T15" s="32" t="s">
        <v>34</v>
      </c>
    </row>
    <row r="16" ht="12.75" customHeight="1">
      <c r="B16" s="24" t="s">
        <v>32</v>
      </c>
      <c r="C16" s="7">
        <v>46187.0</v>
      </c>
      <c r="D16" s="18">
        <f t="shared" si="1"/>
        <v>1</v>
      </c>
      <c r="E16" s="30"/>
      <c r="F16" s="24" t="s">
        <v>22</v>
      </c>
      <c r="G16" s="17" t="s">
        <v>22</v>
      </c>
      <c r="H16" s="24" t="s">
        <v>17</v>
      </c>
      <c r="I16" s="43" t="s">
        <v>22</v>
      </c>
      <c r="J16" s="17" t="s">
        <v>22</v>
      </c>
      <c r="K16" s="24" t="s">
        <v>15</v>
      </c>
      <c r="L16" s="17" t="s">
        <v>12</v>
      </c>
      <c r="M16" s="17" t="s">
        <v>22</v>
      </c>
      <c r="N16" s="14" t="s">
        <v>22</v>
      </c>
      <c r="Q16" s="33" t="s">
        <v>59</v>
      </c>
      <c r="R16" s="33" t="s">
        <v>60</v>
      </c>
      <c r="S16" s="34">
        <v>0.0</v>
      </c>
      <c r="T16" s="34" t="s">
        <v>34</v>
      </c>
    </row>
    <row r="17" ht="12.75" customHeight="1">
      <c r="B17" s="25" t="s">
        <v>35</v>
      </c>
      <c r="C17" s="26"/>
      <c r="D17" s="8">
        <f t="shared" si="1"/>
        <v>0</v>
      </c>
      <c r="E17" s="27"/>
      <c r="F17" s="28">
        <f t="shared" ref="F17:N17" si="3">COUNTIF(F10:F16,$Q$6)*$S$6+COUNTIF(F10:F16,$Q$7)*$S$7+COUNTIF(F10:F16,$Q$8)*$S$8+COUNTIF(F10:F16,$Q$9)*$S$9+COUNTIF(F10:F16,$Q$10)*$S$10+COUNTIF(F10:F16,$Q$11)*$S$11+COUNTIF(F10:F16,$Q$12)*$S$12+COUNTIF(F10:F16,$Q$13)*$S$13+COUNTIF(F10:F16,$Q$14)*$S$14+COUNTIF(F10:F16,$Q$15)*$S$15+COUNTIF(F10:F16,$Q$16)*$S$16</f>
        <v>37</v>
      </c>
      <c r="G17" s="28">
        <f t="shared" si="3"/>
        <v>36</v>
      </c>
      <c r="H17" s="28">
        <f t="shared" si="3"/>
        <v>46</v>
      </c>
      <c r="I17" s="28">
        <f t="shared" si="3"/>
        <v>37.98</v>
      </c>
      <c r="J17" s="28">
        <f t="shared" si="3"/>
        <v>34</v>
      </c>
      <c r="K17" s="28">
        <f t="shared" si="3"/>
        <v>37</v>
      </c>
      <c r="L17" s="28">
        <f t="shared" si="3"/>
        <v>41</v>
      </c>
      <c r="M17" s="28">
        <f t="shared" si="3"/>
        <v>25</v>
      </c>
      <c r="N17" s="28">
        <f t="shared" si="3"/>
        <v>41.33</v>
      </c>
      <c r="O17" s="11"/>
      <c r="P17" s="11"/>
      <c r="Q17" s="11"/>
      <c r="R17" s="11"/>
      <c r="S17" s="11"/>
      <c r="T17" s="11"/>
      <c r="U17" s="11"/>
    </row>
    <row r="18" ht="12.75" customHeight="1">
      <c r="B18" s="6" t="s">
        <v>10</v>
      </c>
      <c r="C18" s="7">
        <v>46188.0</v>
      </c>
      <c r="D18" s="8">
        <f t="shared" si="1"/>
        <v>4</v>
      </c>
      <c r="E18" s="12"/>
      <c r="F18" s="6" t="s">
        <v>15</v>
      </c>
      <c r="G18" s="6" t="s">
        <v>16</v>
      </c>
      <c r="H18" s="6" t="s">
        <v>12</v>
      </c>
      <c r="I18" s="6" t="s">
        <v>17</v>
      </c>
      <c r="J18" s="6" t="s">
        <v>14</v>
      </c>
      <c r="K18" s="6" t="s">
        <v>303</v>
      </c>
      <c r="L18" s="76" t="s">
        <v>13</v>
      </c>
      <c r="M18" s="6" t="s">
        <v>14</v>
      </c>
      <c r="N18" s="6" t="s">
        <v>16</v>
      </c>
      <c r="O18" s="11"/>
      <c r="P18" s="11"/>
      <c r="Q18" s="64"/>
      <c r="R18" s="64"/>
      <c r="S18" s="11"/>
      <c r="T18" s="11"/>
      <c r="U18" s="11"/>
    </row>
    <row r="19" ht="12.75" customHeight="1">
      <c r="B19" s="12" t="s">
        <v>18</v>
      </c>
      <c r="C19" s="7">
        <v>46189.0</v>
      </c>
      <c r="D19" s="8">
        <f t="shared" si="1"/>
        <v>4</v>
      </c>
      <c r="E19" s="12"/>
      <c r="F19" s="6" t="s">
        <v>17</v>
      </c>
      <c r="G19" s="6" t="s">
        <v>16</v>
      </c>
      <c r="H19" s="6" t="s">
        <v>14</v>
      </c>
      <c r="I19" s="6" t="s">
        <v>12</v>
      </c>
      <c r="J19" s="6" t="s">
        <v>15</v>
      </c>
      <c r="K19" s="15" t="s">
        <v>20</v>
      </c>
      <c r="L19" s="14" t="s">
        <v>14</v>
      </c>
      <c r="M19" s="6" t="s">
        <v>14</v>
      </c>
      <c r="N19" s="6" t="s">
        <v>16</v>
      </c>
      <c r="O19" s="11"/>
      <c r="P19" s="11"/>
      <c r="Q19" s="64"/>
      <c r="R19" s="64"/>
      <c r="S19" s="11"/>
      <c r="T19" s="11"/>
      <c r="U19" s="11"/>
    </row>
    <row r="20" ht="12.75" customHeight="1">
      <c r="B20" s="12" t="s">
        <v>19</v>
      </c>
      <c r="C20" s="7">
        <v>46190.0</v>
      </c>
      <c r="D20" s="8">
        <f t="shared" si="1"/>
        <v>4</v>
      </c>
      <c r="E20" s="12"/>
      <c r="F20" s="6" t="s">
        <v>12</v>
      </c>
      <c r="G20" s="39" t="s">
        <v>16</v>
      </c>
      <c r="H20" s="6" t="s">
        <v>17</v>
      </c>
      <c r="I20" s="6" t="s">
        <v>14</v>
      </c>
      <c r="J20" s="76" t="s">
        <v>39</v>
      </c>
      <c r="K20" s="6" t="s">
        <v>15</v>
      </c>
      <c r="L20" s="6" t="s">
        <v>332</v>
      </c>
      <c r="M20" s="6" t="s">
        <v>14</v>
      </c>
      <c r="N20" s="6" t="s">
        <v>16</v>
      </c>
      <c r="O20" s="11"/>
      <c r="P20" s="11"/>
      <c r="Q20" s="64"/>
      <c r="R20" s="64"/>
      <c r="S20" s="11"/>
      <c r="T20" s="11"/>
      <c r="U20" s="11"/>
    </row>
    <row r="21" ht="12.75" customHeight="1">
      <c r="B21" s="12" t="s">
        <v>21</v>
      </c>
      <c r="C21" s="7">
        <v>46191.0</v>
      </c>
      <c r="D21" s="8">
        <f t="shared" si="1"/>
        <v>4</v>
      </c>
      <c r="E21" s="12"/>
      <c r="F21" s="15" t="s">
        <v>42</v>
      </c>
      <c r="G21" s="41" t="s">
        <v>16</v>
      </c>
      <c r="H21" s="6" t="s">
        <v>12</v>
      </c>
      <c r="I21" s="6" t="s">
        <v>308</v>
      </c>
      <c r="J21" s="6" t="s">
        <v>14</v>
      </c>
      <c r="K21" s="6" t="s">
        <v>17</v>
      </c>
      <c r="L21" s="6" t="s">
        <v>15</v>
      </c>
      <c r="M21" s="6" t="s">
        <v>14</v>
      </c>
      <c r="N21" s="6" t="s">
        <v>16</v>
      </c>
      <c r="O21" s="11"/>
      <c r="P21" s="11"/>
      <c r="Q21" s="64"/>
      <c r="R21" s="64"/>
      <c r="S21" s="11"/>
      <c r="T21" s="11"/>
      <c r="U21" s="11"/>
    </row>
    <row r="22" ht="12.75" customHeight="1">
      <c r="B22" s="6" t="s">
        <v>26</v>
      </c>
      <c r="C22" s="7">
        <v>46192.0</v>
      </c>
      <c r="D22" s="8">
        <f t="shared" si="1"/>
        <v>4</v>
      </c>
      <c r="E22" s="12"/>
      <c r="F22" s="6" t="s">
        <v>14</v>
      </c>
      <c r="G22" s="41" t="s">
        <v>16</v>
      </c>
      <c r="H22" s="6" t="s">
        <v>14</v>
      </c>
      <c r="I22" s="6" t="s">
        <v>15</v>
      </c>
      <c r="J22" s="6" t="s">
        <v>17</v>
      </c>
      <c r="K22" s="6" t="s">
        <v>12</v>
      </c>
      <c r="L22" s="6" t="s">
        <v>14</v>
      </c>
      <c r="M22" s="14" t="s">
        <v>52</v>
      </c>
      <c r="N22" s="6" t="s">
        <v>16</v>
      </c>
      <c r="O22" s="11"/>
      <c r="P22" s="11"/>
      <c r="Q22" s="11"/>
      <c r="R22" s="11"/>
      <c r="S22" s="11"/>
      <c r="T22" s="11"/>
      <c r="U22" s="11"/>
    </row>
    <row r="23" ht="12.75" customHeight="1">
      <c r="B23" s="24" t="s">
        <v>28</v>
      </c>
      <c r="C23" s="7">
        <v>46193.0</v>
      </c>
      <c r="D23" s="18">
        <f t="shared" si="1"/>
        <v>3</v>
      </c>
      <c r="E23" s="17"/>
      <c r="F23" s="14" t="s">
        <v>22</v>
      </c>
      <c r="G23" s="43" t="s">
        <v>16</v>
      </c>
      <c r="H23" s="17" t="s">
        <v>14</v>
      </c>
      <c r="I23" s="14" t="s">
        <v>14</v>
      </c>
      <c r="J23" s="17" t="s">
        <v>12</v>
      </c>
      <c r="K23" s="17" t="s">
        <v>17</v>
      </c>
      <c r="L23" s="17" t="s">
        <v>15</v>
      </c>
      <c r="M23" s="17" t="s">
        <v>22</v>
      </c>
      <c r="N23" s="17" t="s">
        <v>16</v>
      </c>
      <c r="O23" s="11"/>
      <c r="P23" s="11"/>
      <c r="Q23" s="11"/>
      <c r="R23" s="11"/>
      <c r="S23" s="11"/>
      <c r="T23" s="11"/>
      <c r="U23" s="11"/>
    </row>
    <row r="24" ht="12.75" customHeight="1">
      <c r="B24" s="24" t="s">
        <v>32</v>
      </c>
      <c r="C24" s="7">
        <v>46194.0</v>
      </c>
      <c r="D24" s="18">
        <f t="shared" si="1"/>
        <v>1</v>
      </c>
      <c r="E24" s="30"/>
      <c r="F24" s="14" t="s">
        <v>22</v>
      </c>
      <c r="G24" s="43" t="s">
        <v>22</v>
      </c>
      <c r="H24" s="17" t="s">
        <v>15</v>
      </c>
      <c r="I24" s="14" t="s">
        <v>17</v>
      </c>
      <c r="J24" s="17" t="s">
        <v>22</v>
      </c>
      <c r="K24" s="17" t="s">
        <v>12</v>
      </c>
      <c r="L24" s="17" t="s">
        <v>22</v>
      </c>
      <c r="M24" s="17" t="s">
        <v>22</v>
      </c>
      <c r="N24" s="17" t="s">
        <v>22</v>
      </c>
      <c r="O24" s="11"/>
      <c r="P24" s="11"/>
      <c r="Q24" s="11"/>
      <c r="R24" s="11"/>
      <c r="S24" s="11"/>
      <c r="T24" s="11"/>
      <c r="U24" s="11"/>
    </row>
    <row r="25" ht="12.75" customHeight="1">
      <c r="B25" s="25" t="s">
        <v>35</v>
      </c>
      <c r="C25" s="26"/>
      <c r="D25" s="8">
        <f t="shared" si="1"/>
        <v>0</v>
      </c>
      <c r="E25" s="27"/>
      <c r="F25" s="28">
        <f t="shared" ref="F25:N25" si="4">COUNTIF(F18:F24,$Q$6)*$S$6+COUNTIF(F18:F24,$Q$7)*$S$7+COUNTIF(F18:F24,$Q$8)*$S$8+COUNTIF(F18:F24,$Q$9)*$S$9+COUNTIF(F18:F24,$Q$10)*$S$10+COUNTIF(F18:F24,$Q$11)*$S$11+COUNTIF(F18:F24,$Q$12)*$S$12+COUNTIF(F18:F24,$Q$13)*$S$13+COUNTIF(F18:F24,$Q$14)*$S$14+COUNTIF(F18:F24,$Q$15)*$S$15+COUNTIF(F18:F24,$Q$16)*$S$16</f>
        <v>39</v>
      </c>
      <c r="G25" s="28">
        <f t="shared" si="4"/>
        <v>37.98</v>
      </c>
      <c r="H25" s="28">
        <f t="shared" si="4"/>
        <v>39</v>
      </c>
      <c r="I25" s="28">
        <f t="shared" si="4"/>
        <v>46</v>
      </c>
      <c r="J25" s="28">
        <f t="shared" si="4"/>
        <v>41</v>
      </c>
      <c r="K25" s="28">
        <f t="shared" si="4"/>
        <v>41</v>
      </c>
      <c r="L25" s="28">
        <f t="shared" si="4"/>
        <v>40</v>
      </c>
      <c r="M25" s="28">
        <f t="shared" si="4"/>
        <v>26.33</v>
      </c>
      <c r="N25" s="28">
        <f t="shared" si="4"/>
        <v>37.98</v>
      </c>
    </row>
    <row r="26" ht="12.75" customHeight="1">
      <c r="B26" s="6" t="s">
        <v>10</v>
      </c>
      <c r="C26" s="7">
        <v>46195.0</v>
      </c>
      <c r="D26" s="8">
        <f t="shared" si="1"/>
        <v>4</v>
      </c>
      <c r="E26" s="9"/>
      <c r="F26" s="6" t="s">
        <v>15</v>
      </c>
      <c r="G26" s="6" t="s">
        <v>16</v>
      </c>
      <c r="H26" s="6" t="s">
        <v>313</v>
      </c>
      <c r="I26" s="6" t="s">
        <v>12</v>
      </c>
      <c r="J26" s="6" t="s">
        <v>14</v>
      </c>
      <c r="K26" s="14" t="s">
        <v>14</v>
      </c>
      <c r="L26" s="6" t="s">
        <v>17</v>
      </c>
      <c r="M26" s="6" t="s">
        <v>14</v>
      </c>
      <c r="N26" s="6" t="s">
        <v>16</v>
      </c>
    </row>
    <row r="27" ht="12.75" customHeight="1">
      <c r="B27" s="6" t="s">
        <v>18</v>
      </c>
      <c r="C27" s="7">
        <v>46196.0</v>
      </c>
      <c r="D27" s="8">
        <f t="shared" si="1"/>
        <v>4</v>
      </c>
      <c r="E27" s="9"/>
      <c r="F27" s="6" t="s">
        <v>17</v>
      </c>
      <c r="G27" s="6" t="s">
        <v>16</v>
      </c>
      <c r="H27" s="76" t="s">
        <v>13</v>
      </c>
      <c r="I27" s="6" t="s">
        <v>14</v>
      </c>
      <c r="J27" s="6" t="s">
        <v>14</v>
      </c>
      <c r="K27" s="15" t="s">
        <v>66</v>
      </c>
      <c r="L27" s="6" t="s">
        <v>12</v>
      </c>
      <c r="M27" s="6" t="s">
        <v>14</v>
      </c>
      <c r="N27" s="6" t="s">
        <v>16</v>
      </c>
      <c r="O27" s="57"/>
    </row>
    <row r="28" ht="12.75" customHeight="1">
      <c r="B28" s="12" t="s">
        <v>19</v>
      </c>
      <c r="C28" s="7">
        <v>46197.0</v>
      </c>
      <c r="D28" s="8">
        <f t="shared" si="1"/>
        <v>4</v>
      </c>
      <c r="E28" s="13"/>
      <c r="F28" s="39" t="s">
        <v>12</v>
      </c>
      <c r="G28" s="39" t="s">
        <v>16</v>
      </c>
      <c r="H28" s="39" t="s">
        <v>14</v>
      </c>
      <c r="I28" s="15" t="s">
        <v>66</v>
      </c>
      <c r="J28" s="39" t="s">
        <v>14</v>
      </c>
      <c r="K28" s="6" t="s">
        <v>17</v>
      </c>
      <c r="L28" s="39" t="s">
        <v>14</v>
      </c>
      <c r="M28" s="6" t="s">
        <v>14</v>
      </c>
      <c r="N28" s="6" t="s">
        <v>16</v>
      </c>
      <c r="O28" s="75" t="s">
        <v>20</v>
      </c>
    </row>
    <row r="29" ht="12.75" customHeight="1">
      <c r="B29" s="6" t="s">
        <v>21</v>
      </c>
      <c r="C29" s="7">
        <v>46198.0</v>
      </c>
      <c r="D29" s="8">
        <f t="shared" si="1"/>
        <v>4</v>
      </c>
      <c r="E29" s="21"/>
      <c r="F29" s="40" t="s">
        <v>42</v>
      </c>
      <c r="G29" s="41" t="s">
        <v>16</v>
      </c>
      <c r="H29" s="41" t="s">
        <v>15</v>
      </c>
      <c r="I29" s="6" t="s">
        <v>14</v>
      </c>
      <c r="J29" s="41" t="s">
        <v>17</v>
      </c>
      <c r="K29" s="6" t="s">
        <v>12</v>
      </c>
      <c r="L29" s="41" t="s">
        <v>333</v>
      </c>
      <c r="M29" s="6" t="s">
        <v>14</v>
      </c>
      <c r="N29" s="6" t="s">
        <v>16</v>
      </c>
    </row>
    <row r="30" ht="12.75" customHeight="1">
      <c r="B30" s="6" t="s">
        <v>26</v>
      </c>
      <c r="C30" s="7">
        <v>46199.0</v>
      </c>
      <c r="D30" s="8">
        <f t="shared" si="1"/>
        <v>4</v>
      </c>
      <c r="E30" s="21"/>
      <c r="F30" s="41" t="s">
        <v>14</v>
      </c>
      <c r="G30" s="41" t="s">
        <v>16</v>
      </c>
      <c r="H30" s="41" t="s">
        <v>17</v>
      </c>
      <c r="I30" s="6" t="s">
        <v>15</v>
      </c>
      <c r="J30" s="41" t="s">
        <v>12</v>
      </c>
      <c r="K30" s="6" t="s">
        <v>319</v>
      </c>
      <c r="L30" s="41" t="s">
        <v>14</v>
      </c>
      <c r="M30" s="6" t="s">
        <v>14</v>
      </c>
      <c r="N30" s="6" t="s">
        <v>16</v>
      </c>
    </row>
    <row r="31" ht="12.75" customHeight="1">
      <c r="B31" s="24" t="s">
        <v>28</v>
      </c>
      <c r="C31" s="7">
        <v>46200.0</v>
      </c>
      <c r="D31" s="18">
        <f t="shared" si="1"/>
        <v>3</v>
      </c>
      <c r="E31" s="19"/>
      <c r="F31" s="43" t="s">
        <v>22</v>
      </c>
      <c r="G31" s="43" t="s">
        <v>16</v>
      </c>
      <c r="H31" s="43" t="s">
        <v>12</v>
      </c>
      <c r="I31" s="17" t="s">
        <v>17</v>
      </c>
      <c r="J31" s="43" t="s">
        <v>14</v>
      </c>
      <c r="K31" s="17" t="s">
        <v>15</v>
      </c>
      <c r="L31" s="43" t="s">
        <v>14</v>
      </c>
      <c r="M31" s="17" t="s">
        <v>22</v>
      </c>
      <c r="N31" s="17" t="s">
        <v>16</v>
      </c>
    </row>
    <row r="32" ht="12.75" customHeight="1">
      <c r="B32" s="24" t="s">
        <v>32</v>
      </c>
      <c r="C32" s="7">
        <v>46201.0</v>
      </c>
      <c r="D32" s="18">
        <f t="shared" si="1"/>
        <v>1</v>
      </c>
      <c r="E32" s="19"/>
      <c r="F32" s="43" t="s">
        <v>22</v>
      </c>
      <c r="G32" s="43" t="s">
        <v>22</v>
      </c>
      <c r="H32" s="43"/>
      <c r="I32" s="17" t="s">
        <v>12</v>
      </c>
      <c r="J32" s="43" t="s">
        <v>15</v>
      </c>
      <c r="K32" s="17"/>
      <c r="L32" s="43" t="s">
        <v>17</v>
      </c>
      <c r="M32" s="17" t="s">
        <v>22</v>
      </c>
      <c r="N32" s="17" t="s">
        <v>22</v>
      </c>
    </row>
    <row r="33" ht="12.75" customHeight="1">
      <c r="B33" s="25" t="s">
        <v>35</v>
      </c>
      <c r="C33" s="26"/>
      <c r="D33" s="8">
        <f t="shared" si="1"/>
        <v>0</v>
      </c>
      <c r="E33" s="27"/>
      <c r="F33" s="28">
        <f t="shared" ref="F33:N33" si="5">COUNTIF(F26:F32,$Q$6)*$S$6+COUNTIF(F26:F32,$Q$7)*$S$7+COUNTIF(F26:F32,$Q$8)*$S$8+COUNTIF(F26:F32,$Q$9)*$S$9+COUNTIF(F26:F32,$Q$10)*$S$10+COUNTIF(F26:F32,$Q$11)*$S$11+COUNTIF(F26:F32,$Q$12)*$S$12+COUNTIF(F26:F32,$Q$13)*$S$13+COUNTIF(F26:F32,$Q$14)*$S$14+COUNTIF(F26:F32,$Q$15)*$S$15+COUNTIF(F26:F32,$Q$16)*$S$16</f>
        <v>39</v>
      </c>
      <c r="G33" s="28">
        <f t="shared" si="5"/>
        <v>37.98</v>
      </c>
      <c r="H33" s="28">
        <f t="shared" si="5"/>
        <v>35</v>
      </c>
      <c r="I33" s="28">
        <f t="shared" si="5"/>
        <v>34</v>
      </c>
      <c r="J33" s="28">
        <f t="shared" si="5"/>
        <v>44</v>
      </c>
      <c r="K33" s="28">
        <f t="shared" si="5"/>
        <v>29</v>
      </c>
      <c r="L33" s="28">
        <f t="shared" si="5"/>
        <v>39</v>
      </c>
      <c r="M33" s="28">
        <f t="shared" si="5"/>
        <v>25</v>
      </c>
      <c r="N33" s="28">
        <f t="shared" si="5"/>
        <v>37.98</v>
      </c>
    </row>
    <row r="34" ht="12.75" customHeight="1">
      <c r="B34" s="6" t="s">
        <v>10</v>
      </c>
      <c r="C34" s="7">
        <v>46202.0</v>
      </c>
      <c r="D34" s="8">
        <f t="shared" si="1"/>
        <v>4</v>
      </c>
      <c r="E34" s="9"/>
      <c r="F34" s="6" t="s">
        <v>14</v>
      </c>
      <c r="G34" s="6" t="s">
        <v>16</v>
      </c>
      <c r="H34" s="6" t="s">
        <v>15</v>
      </c>
      <c r="I34" s="6" t="s">
        <v>14</v>
      </c>
      <c r="J34" s="6" t="s">
        <v>323</v>
      </c>
      <c r="K34" s="6" t="s">
        <v>14</v>
      </c>
      <c r="L34" s="6" t="s">
        <v>12</v>
      </c>
      <c r="M34" s="6" t="s">
        <v>16</v>
      </c>
      <c r="N34" s="6" t="s">
        <v>17</v>
      </c>
      <c r="Q34" s="45"/>
      <c r="R34" s="45"/>
    </row>
    <row r="35" ht="12.75" customHeight="1">
      <c r="B35" s="6" t="s">
        <v>18</v>
      </c>
      <c r="C35" s="7">
        <v>46203.0</v>
      </c>
      <c r="D35" s="8">
        <f t="shared" si="1"/>
        <v>4</v>
      </c>
      <c r="E35" s="9"/>
      <c r="F35" s="15" t="s">
        <v>20</v>
      </c>
      <c r="G35" s="6" t="s">
        <v>15</v>
      </c>
      <c r="H35" s="6" t="s">
        <v>17</v>
      </c>
      <c r="I35" s="6" t="s">
        <v>325</v>
      </c>
      <c r="J35" s="6" t="s">
        <v>14</v>
      </c>
      <c r="K35" s="6" t="s">
        <v>14</v>
      </c>
      <c r="L35" s="10" t="s">
        <v>13</v>
      </c>
      <c r="M35" s="6" t="s">
        <v>16</v>
      </c>
      <c r="N35" s="6" t="s">
        <v>12</v>
      </c>
      <c r="Q35" s="45"/>
      <c r="R35" s="45"/>
    </row>
    <row r="36" ht="12.75" customHeight="1">
      <c r="B36" s="12" t="s">
        <v>19</v>
      </c>
      <c r="C36" s="7">
        <v>46204.0</v>
      </c>
      <c r="D36" s="8">
        <f t="shared" si="1"/>
        <v>5</v>
      </c>
      <c r="E36" s="13"/>
      <c r="F36" s="39" t="s">
        <v>14</v>
      </c>
      <c r="G36" s="6" t="s">
        <v>17</v>
      </c>
      <c r="H36" s="39" t="s">
        <v>12</v>
      </c>
      <c r="I36" s="39" t="s">
        <v>14</v>
      </c>
      <c r="J36" s="39" t="s">
        <v>15</v>
      </c>
      <c r="K36" s="6" t="s">
        <v>14</v>
      </c>
      <c r="L36" s="39" t="s">
        <v>22</v>
      </c>
      <c r="M36" s="6" t="s">
        <v>16</v>
      </c>
      <c r="N36" s="6" t="s">
        <v>14</v>
      </c>
      <c r="Q36" s="45"/>
      <c r="R36" s="45"/>
    </row>
    <row r="37" ht="12.75" customHeight="1">
      <c r="B37" s="6" t="s">
        <v>21</v>
      </c>
      <c r="C37" s="7">
        <v>46205.0</v>
      </c>
      <c r="D37" s="8">
        <f t="shared" si="1"/>
        <v>5</v>
      </c>
      <c r="E37" s="21"/>
      <c r="F37" s="39" t="s">
        <v>14</v>
      </c>
      <c r="G37" s="6" t="s">
        <v>12</v>
      </c>
      <c r="H37" s="41" t="s">
        <v>14</v>
      </c>
      <c r="I37" s="41" t="s">
        <v>15</v>
      </c>
      <c r="J37" s="41" t="s">
        <v>17</v>
      </c>
      <c r="K37" s="15" t="s">
        <v>48</v>
      </c>
      <c r="L37" s="41" t="s">
        <v>14</v>
      </c>
      <c r="M37" s="6" t="s">
        <v>16</v>
      </c>
      <c r="N37" s="6" t="s">
        <v>14</v>
      </c>
      <c r="O37" s="75" t="s">
        <v>20</v>
      </c>
      <c r="Q37" s="45"/>
      <c r="R37" s="45"/>
    </row>
    <row r="38" ht="12.75" customHeight="1">
      <c r="B38" s="6" t="s">
        <v>26</v>
      </c>
      <c r="C38" s="7">
        <v>46206.0</v>
      </c>
      <c r="D38" s="8">
        <f t="shared" si="1"/>
        <v>5</v>
      </c>
      <c r="E38" s="21"/>
      <c r="F38" s="38" t="s">
        <v>20</v>
      </c>
      <c r="G38" s="76" t="s">
        <v>39</v>
      </c>
      <c r="H38" s="41" t="s">
        <v>14</v>
      </c>
      <c r="I38" s="41" t="s">
        <v>17</v>
      </c>
      <c r="J38" s="41" t="s">
        <v>12</v>
      </c>
      <c r="K38" s="6" t="s">
        <v>15</v>
      </c>
      <c r="L38" s="41" t="s">
        <v>14</v>
      </c>
      <c r="M38" s="6" t="s">
        <v>16</v>
      </c>
      <c r="N38" s="6" t="s">
        <v>14</v>
      </c>
      <c r="O38" s="67" t="s">
        <v>329</v>
      </c>
      <c r="P38" s="75" t="s">
        <v>20</v>
      </c>
      <c r="Q38" s="45"/>
      <c r="R38" s="45"/>
    </row>
    <row r="39" ht="12.75" customHeight="1">
      <c r="B39" s="24" t="s">
        <v>28</v>
      </c>
      <c r="C39" s="7">
        <v>46207.0</v>
      </c>
      <c r="D39" s="18">
        <f t="shared" si="1"/>
        <v>3</v>
      </c>
      <c r="E39" s="19"/>
      <c r="F39" s="43" t="s">
        <v>15</v>
      </c>
      <c r="G39" s="17" t="s">
        <v>22</v>
      </c>
      <c r="H39" s="43" t="s">
        <v>22</v>
      </c>
      <c r="I39" s="43" t="s">
        <v>12</v>
      </c>
      <c r="J39" s="43" t="s">
        <v>14</v>
      </c>
      <c r="K39" s="17" t="s">
        <v>22</v>
      </c>
      <c r="L39" s="43" t="s">
        <v>14</v>
      </c>
      <c r="M39" s="17" t="s">
        <v>16</v>
      </c>
      <c r="N39" s="17" t="s">
        <v>17</v>
      </c>
      <c r="Q39" s="16"/>
      <c r="R39" s="16"/>
    </row>
    <row r="40" ht="12.75" customHeight="1">
      <c r="B40" s="24" t="s">
        <v>32</v>
      </c>
      <c r="C40" s="7">
        <v>46208.0</v>
      </c>
      <c r="D40" s="18">
        <f t="shared" si="1"/>
        <v>1</v>
      </c>
      <c r="E40" s="19"/>
      <c r="F40" s="43"/>
      <c r="G40" s="43" t="s">
        <v>22</v>
      </c>
      <c r="H40" s="43" t="s">
        <v>22</v>
      </c>
      <c r="I40" s="43"/>
      <c r="J40" s="43" t="s">
        <v>17</v>
      </c>
      <c r="K40" s="17" t="s">
        <v>22</v>
      </c>
      <c r="L40" s="43" t="s">
        <v>15</v>
      </c>
      <c r="M40" s="17" t="s">
        <v>22</v>
      </c>
      <c r="N40" s="17" t="s">
        <v>12</v>
      </c>
      <c r="Q40" s="16"/>
      <c r="R40" s="16"/>
    </row>
    <row r="41" ht="12.75" customHeight="1">
      <c r="B41" s="25" t="s">
        <v>35</v>
      </c>
      <c r="C41" s="26"/>
      <c r="D41" s="8"/>
      <c r="E41" s="27"/>
      <c r="F41" s="28">
        <f t="shared" ref="F41:N41" si="6">COUNTIF(F34:F40,$Q$6)*$S$6+COUNTIF(F34:F40,$Q$7)*$S$7+COUNTIF(F34:F40,$Q$8)*$S$8+COUNTIF(F34:F40,$Q$9)*$S$9+COUNTIF(F34:F40,$Q$10)*$S$10+COUNTIF(F34:F40,$Q$11)*$S$11+COUNTIF(F34:F40,$Q$12)*$S$12+COUNTIF(F34:F40,$Q$13)*$S$13+COUNTIF(F34:F40,$Q$14)*$S$14+COUNTIF(F34:F40,$Q$15)*$S$15+COUNTIF(F34:F40,$Q$16)*$S$16</f>
        <v>37</v>
      </c>
      <c r="G41" s="28">
        <f t="shared" si="6"/>
        <v>37.33</v>
      </c>
      <c r="H41" s="28">
        <f t="shared" si="6"/>
        <v>34</v>
      </c>
      <c r="I41" s="28">
        <f t="shared" si="6"/>
        <v>34</v>
      </c>
      <c r="J41" s="28">
        <f t="shared" si="6"/>
        <v>46</v>
      </c>
      <c r="K41" s="28">
        <f t="shared" si="6"/>
        <v>37</v>
      </c>
      <c r="L41" s="28">
        <f t="shared" si="6"/>
        <v>33</v>
      </c>
      <c r="M41" s="28">
        <f t="shared" si="6"/>
        <v>37.98</v>
      </c>
      <c r="N41" s="28">
        <f t="shared" si="6"/>
        <v>39</v>
      </c>
      <c r="Q41" s="16"/>
      <c r="R41" s="16"/>
    </row>
    <row r="42" ht="12.75" customHeight="1">
      <c r="B42" s="50" t="s">
        <v>92</v>
      </c>
      <c r="C42" s="26"/>
      <c r="D42" s="51" t="s">
        <v>93</v>
      </c>
      <c r="E42" s="26"/>
      <c r="F42" s="29">
        <f t="shared" ref="F42:N42" si="7">(F9+F17+F25+F33+F33+F41)</f>
        <v>230</v>
      </c>
      <c r="G42" s="29">
        <f t="shared" si="7"/>
        <v>223.27</v>
      </c>
      <c r="H42" s="29">
        <f t="shared" si="7"/>
        <v>220.65</v>
      </c>
      <c r="I42" s="29">
        <f t="shared" si="7"/>
        <v>216.31</v>
      </c>
      <c r="J42" s="29">
        <f t="shared" si="7"/>
        <v>245</v>
      </c>
      <c r="K42" s="29">
        <f t="shared" si="7"/>
        <v>212</v>
      </c>
      <c r="L42" s="29">
        <f t="shared" si="7"/>
        <v>231</v>
      </c>
      <c r="M42" s="29">
        <f t="shared" si="7"/>
        <v>160.64</v>
      </c>
      <c r="N42" s="29">
        <f t="shared" si="7"/>
        <v>229.27</v>
      </c>
      <c r="Q42" s="16"/>
      <c r="R42" s="16"/>
    </row>
    <row r="43" ht="12.75" customHeight="1">
      <c r="D43" s="57"/>
      <c r="E43" s="57"/>
      <c r="F43" s="54" t="s">
        <v>1</v>
      </c>
      <c r="G43" s="54" t="s">
        <v>2</v>
      </c>
      <c r="H43" s="54" t="s">
        <v>3</v>
      </c>
      <c r="I43" s="54" t="s">
        <v>4</v>
      </c>
      <c r="J43" s="54" t="s">
        <v>5</v>
      </c>
      <c r="K43" s="54" t="s">
        <v>6</v>
      </c>
      <c r="L43" s="54" t="s">
        <v>7</v>
      </c>
      <c r="M43" s="54" t="s">
        <v>9</v>
      </c>
      <c r="N43" s="54" t="s">
        <v>8</v>
      </c>
      <c r="Q43" s="16"/>
      <c r="R43" s="16"/>
    </row>
    <row r="44" ht="12.75" customHeight="1">
      <c r="Q44" s="16"/>
      <c r="R44" s="16"/>
    </row>
    <row r="45" ht="12.75" customHeight="1">
      <c r="E45" s="55" t="s">
        <v>15</v>
      </c>
      <c r="F45" s="55">
        <v>4.0</v>
      </c>
      <c r="G45" s="55">
        <v>3.0</v>
      </c>
      <c r="H45" s="55">
        <v>4.0</v>
      </c>
      <c r="I45" s="55">
        <v>4.0</v>
      </c>
      <c r="J45" s="55">
        <v>5.0</v>
      </c>
      <c r="K45" s="55">
        <v>4.0</v>
      </c>
      <c r="L45" s="55">
        <v>4.0</v>
      </c>
      <c r="N45" s="67">
        <v>2.0</v>
      </c>
      <c r="Q45" s="16"/>
      <c r="R45" s="16"/>
    </row>
    <row r="46" ht="12.75" customHeight="1">
      <c r="E46" s="55" t="s">
        <v>17</v>
      </c>
      <c r="F46" s="55">
        <v>3.0</v>
      </c>
      <c r="G46" s="55">
        <v>2.0</v>
      </c>
      <c r="H46" s="55">
        <v>5.0</v>
      </c>
      <c r="I46" s="55">
        <v>4.0</v>
      </c>
      <c r="J46" s="55">
        <v>3.0</v>
      </c>
      <c r="K46" s="55">
        <v>5.0</v>
      </c>
      <c r="L46" s="55">
        <v>5.0</v>
      </c>
      <c r="N46" s="67">
        <v>3.0</v>
      </c>
      <c r="Q46" s="16"/>
      <c r="R46" s="16"/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B9:C9"/>
    <mergeCell ref="B17:C17"/>
    <mergeCell ref="B25:C25"/>
    <mergeCell ref="B33:C33"/>
    <mergeCell ref="B41:C41"/>
    <mergeCell ref="B42:C42"/>
    <mergeCell ref="D42:E42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1" ht="12.75" customHeight="1">
      <c r="D1" s="1" t="s">
        <v>0</v>
      </c>
      <c r="E1" s="2"/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9</v>
      </c>
      <c r="N1" s="3" t="s">
        <v>8</v>
      </c>
      <c r="O1" s="5"/>
      <c r="P1" s="5"/>
      <c r="Q1" s="5"/>
      <c r="R1" s="5"/>
    </row>
    <row r="2" ht="12.75" customHeight="1">
      <c r="B2" s="6" t="s">
        <v>10</v>
      </c>
      <c r="C2" s="7">
        <v>46202.0</v>
      </c>
      <c r="D2" s="8">
        <f t="shared" ref="D2:D40" si="1">COUNTIF(E2:N2,$Q$6)*$T$6+COUNTIF(E2:N2,$Q$7)*$T$7+COUNTIF(E2:N2,$Q$9)*$T$9+COUNTIF(E2:N2,$Q$10)*$T$10+COUNTIF(E2:N2,$Q$11)*$T$11</f>
        <v>4</v>
      </c>
      <c r="E2" s="9"/>
      <c r="F2" s="6" t="s">
        <v>14</v>
      </c>
      <c r="G2" s="6" t="s">
        <v>16</v>
      </c>
      <c r="H2" s="6" t="s">
        <v>15</v>
      </c>
      <c r="I2" s="6" t="s">
        <v>14</v>
      </c>
      <c r="J2" s="6" t="s">
        <v>323</v>
      </c>
      <c r="K2" s="6" t="s">
        <v>14</v>
      </c>
      <c r="L2" s="6" t="s">
        <v>12</v>
      </c>
      <c r="M2" s="6" t="s">
        <v>16</v>
      </c>
      <c r="N2" s="6" t="s">
        <v>17</v>
      </c>
    </row>
    <row r="3" ht="12.75" customHeight="1">
      <c r="B3" s="6" t="s">
        <v>18</v>
      </c>
      <c r="C3" s="7">
        <v>46203.0</v>
      </c>
      <c r="D3" s="8">
        <f t="shared" si="1"/>
        <v>4</v>
      </c>
      <c r="E3" s="30"/>
      <c r="F3" s="15" t="s">
        <v>20</v>
      </c>
      <c r="G3" s="6" t="s">
        <v>15</v>
      </c>
      <c r="H3" s="6" t="s">
        <v>17</v>
      </c>
      <c r="I3" s="6" t="s">
        <v>325</v>
      </c>
      <c r="J3" s="6" t="s">
        <v>14</v>
      </c>
      <c r="K3" s="6" t="s">
        <v>14</v>
      </c>
      <c r="L3" s="10" t="s">
        <v>13</v>
      </c>
      <c r="M3" s="6" t="s">
        <v>16</v>
      </c>
      <c r="N3" s="6" t="s">
        <v>12</v>
      </c>
    </row>
    <row r="4" ht="12.75" customHeight="1">
      <c r="B4" s="12" t="s">
        <v>19</v>
      </c>
      <c r="C4" s="7">
        <v>46204.0</v>
      </c>
      <c r="D4" s="8">
        <f t="shared" si="1"/>
        <v>5</v>
      </c>
      <c r="E4" s="13"/>
      <c r="F4" s="39" t="s">
        <v>14</v>
      </c>
      <c r="G4" s="6" t="s">
        <v>17</v>
      </c>
      <c r="H4" s="39" t="s">
        <v>12</v>
      </c>
      <c r="I4" s="39" t="s">
        <v>14</v>
      </c>
      <c r="J4" s="39" t="s">
        <v>15</v>
      </c>
      <c r="K4" s="6" t="s">
        <v>14</v>
      </c>
      <c r="L4" s="39" t="s">
        <v>22</v>
      </c>
      <c r="M4" s="6" t="s">
        <v>16</v>
      </c>
      <c r="N4" s="6" t="s">
        <v>14</v>
      </c>
      <c r="O4" s="79"/>
      <c r="P4" s="79"/>
    </row>
    <row r="5" ht="12.75" customHeight="1">
      <c r="B5" s="12" t="s">
        <v>21</v>
      </c>
      <c r="C5" s="7">
        <v>46205.0</v>
      </c>
      <c r="D5" s="8">
        <f t="shared" si="1"/>
        <v>5</v>
      </c>
      <c r="E5" s="21"/>
      <c r="F5" s="39" t="s">
        <v>14</v>
      </c>
      <c r="G5" s="6" t="s">
        <v>12</v>
      </c>
      <c r="H5" s="41" t="s">
        <v>14</v>
      </c>
      <c r="I5" s="41" t="s">
        <v>15</v>
      </c>
      <c r="J5" s="41" t="s">
        <v>17</v>
      </c>
      <c r="K5" s="15" t="s">
        <v>48</v>
      </c>
      <c r="L5" s="41" t="s">
        <v>14</v>
      </c>
      <c r="M5" s="6" t="s">
        <v>16</v>
      </c>
      <c r="N5" s="6" t="s">
        <v>14</v>
      </c>
      <c r="O5" s="80" t="s">
        <v>20</v>
      </c>
      <c r="P5" s="79"/>
      <c r="Q5" s="20" t="s">
        <v>23</v>
      </c>
      <c r="R5" s="20"/>
      <c r="S5" s="20" t="s">
        <v>24</v>
      </c>
      <c r="T5" s="20" t="s">
        <v>25</v>
      </c>
    </row>
    <row r="6" ht="12.75" customHeight="1">
      <c r="B6" s="12" t="s">
        <v>26</v>
      </c>
      <c r="C6" s="7">
        <v>46206.0</v>
      </c>
      <c r="D6" s="77">
        <f t="shared" si="1"/>
        <v>5</v>
      </c>
      <c r="E6" s="78"/>
      <c r="F6" s="38" t="s">
        <v>20</v>
      </c>
      <c r="G6" s="76" t="s">
        <v>39</v>
      </c>
      <c r="H6" s="41" t="s">
        <v>14</v>
      </c>
      <c r="I6" s="41" t="s">
        <v>17</v>
      </c>
      <c r="J6" s="41" t="s">
        <v>12</v>
      </c>
      <c r="K6" s="6" t="s">
        <v>15</v>
      </c>
      <c r="L6" s="41" t="s">
        <v>14</v>
      </c>
      <c r="M6" s="6" t="s">
        <v>16</v>
      </c>
      <c r="N6" s="6" t="s">
        <v>14</v>
      </c>
      <c r="O6" s="80" t="s">
        <v>20</v>
      </c>
      <c r="P6" s="79"/>
      <c r="Q6" s="22" t="s">
        <v>14</v>
      </c>
      <c r="R6" s="22" t="s">
        <v>27</v>
      </c>
      <c r="S6" s="23">
        <v>5.0</v>
      </c>
      <c r="T6" s="23">
        <v>1.0</v>
      </c>
    </row>
    <row r="7" ht="12.75" customHeight="1">
      <c r="B7" s="24" t="s">
        <v>28</v>
      </c>
      <c r="C7" s="7">
        <v>46207.0</v>
      </c>
      <c r="D7" s="18">
        <f t="shared" si="1"/>
        <v>3</v>
      </c>
      <c r="E7" s="19"/>
      <c r="F7" s="43" t="s">
        <v>15</v>
      </c>
      <c r="G7" s="17" t="s">
        <v>22</v>
      </c>
      <c r="H7" s="43" t="s">
        <v>22</v>
      </c>
      <c r="I7" s="43" t="s">
        <v>12</v>
      </c>
      <c r="J7" s="43" t="s">
        <v>14</v>
      </c>
      <c r="K7" s="17" t="s">
        <v>22</v>
      </c>
      <c r="L7" s="43" t="s">
        <v>14</v>
      </c>
      <c r="M7" s="17" t="s">
        <v>16</v>
      </c>
      <c r="N7" s="17" t="s">
        <v>17</v>
      </c>
      <c r="O7" s="79"/>
      <c r="P7" s="79"/>
      <c r="Q7" s="22" t="s">
        <v>15</v>
      </c>
      <c r="R7" s="22" t="s">
        <v>31</v>
      </c>
      <c r="S7" s="23">
        <v>12.0</v>
      </c>
      <c r="T7" s="23">
        <v>1.0</v>
      </c>
    </row>
    <row r="8" ht="12.75" customHeight="1">
      <c r="B8" s="24" t="s">
        <v>32</v>
      </c>
      <c r="C8" s="7">
        <v>46208.0</v>
      </c>
      <c r="D8" s="18">
        <f t="shared" si="1"/>
        <v>1</v>
      </c>
      <c r="E8" s="19"/>
      <c r="F8" s="43"/>
      <c r="G8" s="43" t="s">
        <v>22</v>
      </c>
      <c r="H8" s="43" t="s">
        <v>22</v>
      </c>
      <c r="I8" s="43"/>
      <c r="J8" s="43" t="s">
        <v>17</v>
      </c>
      <c r="K8" s="17" t="s">
        <v>22</v>
      </c>
      <c r="L8" s="43" t="s">
        <v>15</v>
      </c>
      <c r="M8" s="17" t="s">
        <v>22</v>
      </c>
      <c r="N8" s="17" t="s">
        <v>12</v>
      </c>
      <c r="O8" s="79"/>
      <c r="P8" s="79"/>
      <c r="Q8" s="22" t="s">
        <v>17</v>
      </c>
      <c r="R8" s="22" t="s">
        <v>33</v>
      </c>
      <c r="S8" s="23">
        <v>12.0</v>
      </c>
      <c r="T8" s="22" t="s">
        <v>34</v>
      </c>
    </row>
    <row r="9" ht="12.75" customHeight="1">
      <c r="B9" s="25" t="s">
        <v>35</v>
      </c>
      <c r="C9" s="26"/>
      <c r="D9" s="8">
        <f t="shared" si="1"/>
        <v>0</v>
      </c>
      <c r="E9" s="27"/>
      <c r="F9" s="65">
        <f t="shared" ref="F9:N9" si="2">COUNTIF(F2:F8,$Q$6)*$S$6+COUNTIF(F2:F8,$Q$7)*$S$7+COUNTIF(F2:F8,$Q$8)*$S$8+COUNTIF(F2:F8,$Q$9)*$S$9+COUNTIF(F2:F8,$Q$10)*$S$10+COUNTIF(F2:F8,$Q$11)*$S$11+COUNTIF(F2:F8,$Q$12)*$S$12+COUNTIF(F2:F8,$Q$13)*$S$13+COUNTIF(F2:F8,$Q$14)*$S$14+COUNTIF(F2:F8,$Q$15)*$S$15+COUNTIF(F2:F8,$Q$16)*$S$16</f>
        <v>37</v>
      </c>
      <c r="G9" s="28">
        <f t="shared" si="2"/>
        <v>37.33</v>
      </c>
      <c r="H9" s="28">
        <f t="shared" si="2"/>
        <v>34</v>
      </c>
      <c r="I9" s="28">
        <f t="shared" si="2"/>
        <v>34</v>
      </c>
      <c r="J9" s="28">
        <f t="shared" si="2"/>
        <v>46</v>
      </c>
      <c r="K9" s="28">
        <f t="shared" si="2"/>
        <v>37</v>
      </c>
      <c r="L9" s="28">
        <f t="shared" si="2"/>
        <v>33</v>
      </c>
      <c r="M9" s="28">
        <f t="shared" si="2"/>
        <v>37.98</v>
      </c>
      <c r="N9" s="28">
        <f t="shared" si="2"/>
        <v>39</v>
      </c>
      <c r="O9" s="79"/>
      <c r="P9" s="79"/>
      <c r="Q9" s="22" t="s">
        <v>13</v>
      </c>
      <c r="R9" s="22" t="s">
        <v>36</v>
      </c>
      <c r="S9" s="23">
        <v>6.0</v>
      </c>
      <c r="T9" s="23">
        <v>1.0</v>
      </c>
    </row>
    <row r="10" ht="12.75" customHeight="1">
      <c r="B10" s="6" t="s">
        <v>10</v>
      </c>
      <c r="C10" s="7">
        <v>46209.0</v>
      </c>
      <c r="D10" s="8">
        <f t="shared" si="1"/>
        <v>4</v>
      </c>
      <c r="E10" s="9"/>
      <c r="F10" s="6" t="s">
        <v>17</v>
      </c>
      <c r="G10" s="6" t="s">
        <v>15</v>
      </c>
      <c r="H10" s="10" t="s">
        <v>13</v>
      </c>
      <c r="I10" s="6" t="s">
        <v>14</v>
      </c>
      <c r="J10" s="6" t="s">
        <v>12</v>
      </c>
      <c r="K10" s="6" t="s">
        <v>14</v>
      </c>
      <c r="L10" s="6" t="s">
        <v>334</v>
      </c>
      <c r="M10" s="6" t="s">
        <v>16</v>
      </c>
      <c r="N10" s="6" t="s">
        <v>335</v>
      </c>
      <c r="O10" s="81"/>
      <c r="P10" s="79"/>
      <c r="Q10" s="22" t="s">
        <v>39</v>
      </c>
      <c r="R10" s="22" t="s">
        <v>40</v>
      </c>
      <c r="S10" s="23">
        <v>7.0</v>
      </c>
      <c r="T10" s="23">
        <v>1.0</v>
      </c>
    </row>
    <row r="11" ht="12.75" customHeight="1">
      <c r="B11" s="12" t="s">
        <v>18</v>
      </c>
      <c r="C11" s="7">
        <v>46210.0</v>
      </c>
      <c r="D11" s="8">
        <f t="shared" si="1"/>
        <v>4</v>
      </c>
      <c r="E11" s="9"/>
      <c r="F11" s="6" t="s">
        <v>12</v>
      </c>
      <c r="G11" s="6" t="s">
        <v>14</v>
      </c>
      <c r="H11" s="6" t="s">
        <v>17</v>
      </c>
      <c r="I11" s="70" t="s">
        <v>20</v>
      </c>
      <c r="J11" s="6" t="s">
        <v>336</v>
      </c>
      <c r="K11" s="6" t="s">
        <v>14</v>
      </c>
      <c r="L11" s="11" t="s">
        <v>14</v>
      </c>
      <c r="M11" s="6" t="s">
        <v>16</v>
      </c>
      <c r="N11" s="6" t="s">
        <v>15</v>
      </c>
      <c r="O11" s="79"/>
      <c r="P11" s="79"/>
      <c r="Q11" s="22" t="s">
        <v>42</v>
      </c>
      <c r="R11" s="22" t="s">
        <v>43</v>
      </c>
      <c r="S11" s="23">
        <v>10.0</v>
      </c>
      <c r="T11" s="23">
        <v>1.0</v>
      </c>
    </row>
    <row r="12" ht="12.75" customHeight="1">
      <c r="B12" s="12" t="s">
        <v>19</v>
      </c>
      <c r="C12" s="7">
        <v>46211.0</v>
      </c>
      <c r="D12" s="8">
        <f t="shared" si="1"/>
        <v>5</v>
      </c>
      <c r="E12" s="9"/>
      <c r="F12" s="6" t="s">
        <v>22</v>
      </c>
      <c r="G12" s="6" t="s">
        <v>14</v>
      </c>
      <c r="H12" s="11" t="s">
        <v>12</v>
      </c>
      <c r="I12" s="39" t="s">
        <v>14</v>
      </c>
      <c r="J12" s="10" t="s">
        <v>39</v>
      </c>
      <c r="K12" s="6" t="s">
        <v>15</v>
      </c>
      <c r="L12" s="6" t="s">
        <v>14</v>
      </c>
      <c r="M12" s="6" t="s">
        <v>16</v>
      </c>
      <c r="N12" s="6" t="s">
        <v>17</v>
      </c>
      <c r="O12" s="79"/>
      <c r="P12" s="79"/>
      <c r="Q12" s="22" t="s">
        <v>20</v>
      </c>
      <c r="R12" s="22" t="s">
        <v>46</v>
      </c>
      <c r="S12" s="23">
        <v>5.0</v>
      </c>
      <c r="T12" s="22" t="s">
        <v>34</v>
      </c>
    </row>
    <row r="13" ht="12.75" customHeight="1">
      <c r="B13" s="12" t="s">
        <v>21</v>
      </c>
      <c r="C13" s="7">
        <v>46212.0</v>
      </c>
      <c r="D13" s="8">
        <f t="shared" si="1"/>
        <v>4</v>
      </c>
      <c r="E13" s="9"/>
      <c r="F13" s="70" t="s">
        <v>42</v>
      </c>
      <c r="G13" s="6" t="s">
        <v>22</v>
      </c>
      <c r="H13" s="6" t="s">
        <v>14</v>
      </c>
      <c r="I13" s="73" t="s">
        <v>66</v>
      </c>
      <c r="J13" s="6" t="s">
        <v>14</v>
      </c>
      <c r="K13" s="6" t="s">
        <v>17</v>
      </c>
      <c r="L13" s="6" t="s">
        <v>14</v>
      </c>
      <c r="M13" s="6" t="s">
        <v>16</v>
      </c>
      <c r="N13" s="14" t="s">
        <v>12</v>
      </c>
      <c r="O13" s="80" t="s">
        <v>20</v>
      </c>
      <c r="P13" s="79"/>
      <c r="Q13" s="22" t="s">
        <v>48</v>
      </c>
      <c r="R13" s="22" t="s">
        <v>49</v>
      </c>
      <c r="S13" s="23">
        <v>10.0</v>
      </c>
      <c r="T13" s="22" t="s">
        <v>34</v>
      </c>
    </row>
    <row r="14" ht="12.75" customHeight="1">
      <c r="B14" s="12" t="s">
        <v>26</v>
      </c>
      <c r="C14" s="7">
        <v>46213.0</v>
      </c>
      <c r="D14" s="8">
        <f t="shared" si="1"/>
        <v>4</v>
      </c>
      <c r="E14" s="9"/>
      <c r="F14" s="6" t="s">
        <v>14</v>
      </c>
      <c r="G14" s="6" t="s">
        <v>14</v>
      </c>
      <c r="H14" s="6" t="s">
        <v>14</v>
      </c>
      <c r="I14" s="41" t="s">
        <v>22</v>
      </c>
      <c r="J14" s="6" t="s">
        <v>15</v>
      </c>
      <c r="K14" s="6" t="s">
        <v>12</v>
      </c>
      <c r="L14" s="6" t="s">
        <v>17</v>
      </c>
      <c r="M14" s="6" t="s">
        <v>16</v>
      </c>
      <c r="N14" s="82" t="s">
        <v>16</v>
      </c>
      <c r="O14" s="81"/>
      <c r="P14" s="79"/>
      <c r="Q14" s="31" t="s">
        <v>52</v>
      </c>
      <c r="R14" s="31" t="s">
        <v>53</v>
      </c>
      <c r="S14" s="32">
        <v>6.33</v>
      </c>
      <c r="T14" s="32" t="s">
        <v>34</v>
      </c>
    </row>
    <row r="15" ht="12.75" customHeight="1">
      <c r="B15" s="24" t="s">
        <v>28</v>
      </c>
      <c r="C15" s="7">
        <v>46214.0</v>
      </c>
      <c r="D15" s="18">
        <f t="shared" si="1"/>
        <v>3</v>
      </c>
      <c r="E15" s="30"/>
      <c r="F15" s="24" t="s">
        <v>17</v>
      </c>
      <c r="G15" s="17" t="s">
        <v>14</v>
      </c>
      <c r="H15" s="24" t="s">
        <v>15</v>
      </c>
      <c r="I15" s="43" t="s">
        <v>14</v>
      </c>
      <c r="J15" s="17" t="s">
        <v>22</v>
      </c>
      <c r="K15" s="24" t="s">
        <v>16</v>
      </c>
      <c r="L15" s="17" t="s">
        <v>12</v>
      </c>
      <c r="M15" s="17" t="s">
        <v>16</v>
      </c>
      <c r="N15" s="82" t="s">
        <v>16</v>
      </c>
      <c r="O15" s="79"/>
      <c r="P15" s="79"/>
      <c r="Q15" s="31" t="s">
        <v>16</v>
      </c>
      <c r="R15" s="31" t="s">
        <v>57</v>
      </c>
      <c r="S15" s="32">
        <v>6.33</v>
      </c>
      <c r="T15" s="32" t="s">
        <v>34</v>
      </c>
    </row>
    <row r="16" ht="12.75" customHeight="1">
      <c r="B16" s="24" t="s">
        <v>32</v>
      </c>
      <c r="C16" s="7">
        <v>46215.0</v>
      </c>
      <c r="D16" s="18">
        <f t="shared" si="1"/>
        <v>1</v>
      </c>
      <c r="E16" s="30"/>
      <c r="F16" s="24" t="s">
        <v>12</v>
      </c>
      <c r="G16" s="17" t="s">
        <v>15</v>
      </c>
      <c r="H16" s="24"/>
      <c r="I16" s="43" t="s">
        <v>17</v>
      </c>
      <c r="J16" s="17" t="s">
        <v>22</v>
      </c>
      <c r="K16" s="24"/>
      <c r="L16" s="17"/>
      <c r="M16" s="17"/>
      <c r="N16" s="24" t="s">
        <v>22</v>
      </c>
      <c r="O16" s="79"/>
      <c r="P16" s="79"/>
      <c r="Q16" s="33" t="s">
        <v>59</v>
      </c>
      <c r="R16" s="33" t="s">
        <v>60</v>
      </c>
      <c r="S16" s="34">
        <v>0.0</v>
      </c>
      <c r="T16" s="34" t="s">
        <v>34</v>
      </c>
    </row>
    <row r="17" ht="12.75" customHeight="1">
      <c r="B17" s="25" t="s">
        <v>35</v>
      </c>
      <c r="C17" s="26"/>
      <c r="D17" s="8">
        <f t="shared" si="1"/>
        <v>0</v>
      </c>
      <c r="E17" s="27"/>
      <c r="F17" s="28">
        <f t="shared" ref="F17:N17" si="3">COUNTIF(F10:F16,$Q$6)*$S$6+COUNTIF(F10:F16,$Q$7)*$S$7+COUNTIF(F10:F16,$Q$8)*$S$8+COUNTIF(F10:F16,$Q$9)*$S$9+COUNTIF(F10:F16,$Q$10)*$S$10+COUNTIF(F10:F16,$Q$11)*$S$11+COUNTIF(F10:F16,$Q$12)*$S$12+COUNTIF(F10:F16,$Q$13)*$S$13+COUNTIF(F10:F16,$Q$14)*$S$14+COUNTIF(F10:F16,$Q$15)*$S$15+COUNTIF(F10:F16,$Q$16)*$S$16</f>
        <v>39</v>
      </c>
      <c r="G17" s="28">
        <f t="shared" si="3"/>
        <v>44</v>
      </c>
      <c r="H17" s="28">
        <f t="shared" si="3"/>
        <v>40</v>
      </c>
      <c r="I17" s="28">
        <f t="shared" si="3"/>
        <v>32</v>
      </c>
      <c r="J17" s="28">
        <f t="shared" si="3"/>
        <v>24</v>
      </c>
      <c r="K17" s="28">
        <f t="shared" si="3"/>
        <v>40.33</v>
      </c>
      <c r="L17" s="28">
        <f t="shared" si="3"/>
        <v>27</v>
      </c>
      <c r="M17" s="28">
        <f t="shared" si="3"/>
        <v>37.98</v>
      </c>
      <c r="N17" s="28">
        <f t="shared" si="3"/>
        <v>36.66</v>
      </c>
      <c r="O17" s="11"/>
      <c r="P17" s="11"/>
      <c r="Q17" s="11"/>
      <c r="R17" s="11"/>
      <c r="S17" s="11"/>
      <c r="T17" s="11"/>
    </row>
    <row r="18" ht="12.75" customHeight="1">
      <c r="B18" s="6" t="s">
        <v>10</v>
      </c>
      <c r="C18" s="7">
        <v>46216.0</v>
      </c>
      <c r="D18" s="8">
        <f t="shared" si="1"/>
        <v>4</v>
      </c>
      <c r="E18" s="12"/>
      <c r="F18" s="6" t="s">
        <v>14</v>
      </c>
      <c r="G18" s="6" t="s">
        <v>337</v>
      </c>
      <c r="H18" s="6" t="s">
        <v>14</v>
      </c>
      <c r="I18" s="6" t="s">
        <v>12</v>
      </c>
      <c r="J18" s="6" t="s">
        <v>22</v>
      </c>
      <c r="K18" s="6" t="s">
        <v>16</v>
      </c>
      <c r="L18" s="6" t="s">
        <v>15</v>
      </c>
      <c r="M18" s="6" t="s">
        <v>14</v>
      </c>
      <c r="N18" s="6" t="s">
        <v>17</v>
      </c>
      <c r="O18" s="11"/>
      <c r="P18" s="11"/>
      <c r="Q18" s="64"/>
      <c r="R18" s="64"/>
      <c r="S18" s="11"/>
      <c r="T18" s="11"/>
    </row>
    <row r="19" ht="12.75" customHeight="1">
      <c r="B19" s="12" t="s">
        <v>18</v>
      </c>
      <c r="C19" s="7">
        <v>46217.0</v>
      </c>
      <c r="D19" s="8">
        <f t="shared" si="1"/>
        <v>4</v>
      </c>
      <c r="E19" s="12"/>
      <c r="F19" s="70" t="s">
        <v>20</v>
      </c>
      <c r="G19" s="6" t="s">
        <v>14</v>
      </c>
      <c r="H19" s="6" t="s">
        <v>15</v>
      </c>
      <c r="I19" s="70" t="s">
        <v>20</v>
      </c>
      <c r="J19" s="10" t="s">
        <v>13</v>
      </c>
      <c r="K19" s="6" t="s">
        <v>16</v>
      </c>
      <c r="L19" s="6" t="s">
        <v>17</v>
      </c>
      <c r="M19" s="6" t="s">
        <v>14</v>
      </c>
      <c r="N19" s="6" t="s">
        <v>12</v>
      </c>
      <c r="O19" s="83" t="s">
        <v>20</v>
      </c>
      <c r="P19" s="11"/>
      <c r="Q19" s="64"/>
      <c r="R19" s="64"/>
      <c r="S19" s="11"/>
      <c r="T19" s="11"/>
    </row>
    <row r="20" ht="12.75" customHeight="1">
      <c r="B20" s="12" t="s">
        <v>19</v>
      </c>
      <c r="C20" s="7">
        <v>46218.0</v>
      </c>
      <c r="D20" s="8">
        <f t="shared" si="1"/>
        <v>5</v>
      </c>
      <c r="E20" s="12"/>
      <c r="F20" s="6" t="s">
        <v>14</v>
      </c>
      <c r="G20" s="61" t="s">
        <v>39</v>
      </c>
      <c r="H20" s="6" t="s">
        <v>22</v>
      </c>
      <c r="I20" s="6" t="s">
        <v>15</v>
      </c>
      <c r="J20" s="6" t="s">
        <v>17</v>
      </c>
      <c r="K20" s="6" t="s">
        <v>16</v>
      </c>
      <c r="L20" s="6" t="s">
        <v>12</v>
      </c>
      <c r="M20" s="6" t="s">
        <v>14</v>
      </c>
      <c r="N20" s="6" t="s">
        <v>14</v>
      </c>
      <c r="O20" s="11"/>
      <c r="P20" s="11"/>
      <c r="Q20" s="64"/>
      <c r="R20" s="64"/>
      <c r="S20" s="11"/>
      <c r="T20" s="11"/>
    </row>
    <row r="21" ht="12.75" customHeight="1">
      <c r="B21" s="12" t="s">
        <v>21</v>
      </c>
      <c r="C21" s="7">
        <v>46219.0</v>
      </c>
      <c r="D21" s="8">
        <f t="shared" si="1"/>
        <v>4</v>
      </c>
      <c r="E21" s="12"/>
      <c r="F21" s="6" t="s">
        <v>338</v>
      </c>
      <c r="G21" s="41" t="s">
        <v>15</v>
      </c>
      <c r="H21" s="6" t="s">
        <v>14</v>
      </c>
      <c r="I21" s="14" t="s">
        <v>17</v>
      </c>
      <c r="J21" s="6" t="s">
        <v>12</v>
      </c>
      <c r="K21" s="6" t="s">
        <v>16</v>
      </c>
      <c r="L21" s="6" t="s">
        <v>14</v>
      </c>
      <c r="M21" s="14" t="s">
        <v>52</v>
      </c>
      <c r="N21" s="6" t="s">
        <v>14</v>
      </c>
      <c r="O21" s="11"/>
      <c r="P21" s="11"/>
      <c r="Q21" s="64"/>
      <c r="R21" s="64"/>
      <c r="S21" s="11"/>
      <c r="T21" s="11"/>
    </row>
    <row r="22" ht="12.75" customHeight="1">
      <c r="B22" s="6" t="s">
        <v>26</v>
      </c>
      <c r="C22" s="7">
        <v>46220.0</v>
      </c>
      <c r="D22" s="8">
        <f t="shared" si="1"/>
        <v>6</v>
      </c>
      <c r="E22" s="12"/>
      <c r="F22" s="6" t="s">
        <v>14</v>
      </c>
      <c r="G22" s="41" t="s">
        <v>17</v>
      </c>
      <c r="H22" s="6" t="s">
        <v>15</v>
      </c>
      <c r="I22" s="14" t="s">
        <v>12</v>
      </c>
      <c r="J22" s="6" t="s">
        <v>14</v>
      </c>
      <c r="K22" s="6" t="s">
        <v>16</v>
      </c>
      <c r="L22" s="14" t="s">
        <v>14</v>
      </c>
      <c r="M22" s="84" t="s">
        <v>14</v>
      </c>
      <c r="N22" s="6" t="s">
        <v>14</v>
      </c>
      <c r="O22" s="11"/>
      <c r="P22" s="11"/>
      <c r="Q22" s="11"/>
      <c r="R22" s="11"/>
      <c r="S22" s="11"/>
      <c r="T22" s="11"/>
    </row>
    <row r="23" ht="12.75" customHeight="1">
      <c r="B23" s="24" t="s">
        <v>28</v>
      </c>
      <c r="C23" s="7">
        <v>46221.0</v>
      </c>
      <c r="D23" s="18">
        <f t="shared" si="1"/>
        <v>3</v>
      </c>
      <c r="E23" s="17"/>
      <c r="F23" s="85" t="s">
        <v>14</v>
      </c>
      <c r="G23" s="86" t="s">
        <v>12</v>
      </c>
      <c r="H23" s="14" t="s">
        <v>17</v>
      </c>
      <c r="I23" s="85" t="s">
        <v>339</v>
      </c>
      <c r="J23" s="85" t="s">
        <v>15</v>
      </c>
      <c r="K23" s="85" t="s">
        <v>16</v>
      </c>
      <c r="L23" s="14" t="s">
        <v>22</v>
      </c>
      <c r="M23" s="85" t="s">
        <v>22</v>
      </c>
      <c r="N23" s="85" t="s">
        <v>14</v>
      </c>
      <c r="O23" s="11"/>
      <c r="P23" s="11"/>
      <c r="Q23" s="11"/>
      <c r="R23" s="11"/>
      <c r="S23" s="11"/>
      <c r="T23" s="11"/>
    </row>
    <row r="24" ht="12.75" customHeight="1">
      <c r="B24" s="24" t="s">
        <v>32</v>
      </c>
      <c r="C24" s="7">
        <v>46222.0</v>
      </c>
      <c r="D24" s="18">
        <f t="shared" si="1"/>
        <v>1</v>
      </c>
      <c r="E24" s="30"/>
      <c r="F24" s="85" t="s">
        <v>15</v>
      </c>
      <c r="G24" s="86"/>
      <c r="H24" s="14" t="s">
        <v>12</v>
      </c>
      <c r="I24" s="85"/>
      <c r="J24" s="85" t="s">
        <v>22</v>
      </c>
      <c r="K24" s="85" t="s">
        <v>22</v>
      </c>
      <c r="L24" s="14" t="s">
        <v>22</v>
      </c>
      <c r="M24" s="85" t="s">
        <v>22</v>
      </c>
      <c r="N24" s="85" t="s">
        <v>17</v>
      </c>
      <c r="O24" s="11"/>
      <c r="P24" s="11"/>
      <c r="Q24" s="11"/>
      <c r="R24" s="11"/>
      <c r="S24" s="11"/>
      <c r="T24" s="11"/>
    </row>
    <row r="25" ht="12.75" customHeight="1">
      <c r="B25" s="25" t="s">
        <v>35</v>
      </c>
      <c r="C25" s="26"/>
      <c r="D25" s="8">
        <f t="shared" si="1"/>
        <v>0</v>
      </c>
      <c r="E25" s="27"/>
      <c r="F25" s="28">
        <f t="shared" ref="F25:N25" si="4">COUNTIF(F18:F24,$Q$6)*$S$6+COUNTIF(F18:F24,$Q$7)*$S$7+COUNTIF(F18:F24,$Q$8)*$S$8+COUNTIF(F18:F24,$Q$9)*$S$9+COUNTIF(F18:F24,$Q$10)*$S$10+COUNTIF(F18:F24,$Q$11)*$S$11+COUNTIF(F18:F24,$Q$12)*$S$12+COUNTIF(F18:F24,$Q$13)*$S$13+COUNTIF(F18:F24,$Q$14)*$S$14+COUNTIF(F18:F24,$Q$15)*$S$15+COUNTIF(F18:F24,$Q$16)*$S$16</f>
        <v>37</v>
      </c>
      <c r="G25" s="28">
        <f t="shared" si="4"/>
        <v>36</v>
      </c>
      <c r="H25" s="28">
        <f t="shared" si="4"/>
        <v>46</v>
      </c>
      <c r="I25" s="28">
        <f t="shared" si="4"/>
        <v>29</v>
      </c>
      <c r="J25" s="28">
        <f t="shared" si="4"/>
        <v>35</v>
      </c>
      <c r="K25" s="28">
        <f t="shared" si="4"/>
        <v>37.98</v>
      </c>
      <c r="L25" s="28">
        <f t="shared" si="4"/>
        <v>34</v>
      </c>
      <c r="M25" s="28">
        <f t="shared" si="4"/>
        <v>26.33</v>
      </c>
      <c r="N25" s="28">
        <f t="shared" si="4"/>
        <v>44</v>
      </c>
    </row>
    <row r="26" ht="12.75" customHeight="1">
      <c r="B26" s="6" t="s">
        <v>10</v>
      </c>
      <c r="C26" s="7">
        <v>46223.0</v>
      </c>
      <c r="D26" s="8">
        <f t="shared" si="1"/>
        <v>4</v>
      </c>
      <c r="E26" s="9"/>
      <c r="F26" s="6" t="s">
        <v>340</v>
      </c>
      <c r="G26" s="6" t="s">
        <v>17</v>
      </c>
      <c r="H26" s="14" t="s">
        <v>22</v>
      </c>
      <c r="I26" s="6" t="s">
        <v>14</v>
      </c>
      <c r="J26" s="10" t="s">
        <v>13</v>
      </c>
      <c r="K26" s="28" t="s">
        <v>16</v>
      </c>
      <c r="L26" s="6" t="s">
        <v>15</v>
      </c>
      <c r="M26" s="6" t="s">
        <v>14</v>
      </c>
      <c r="N26" s="6" t="s">
        <v>12</v>
      </c>
    </row>
    <row r="27" ht="12.75" customHeight="1">
      <c r="B27" s="6" t="s">
        <v>18</v>
      </c>
      <c r="C27" s="7">
        <v>46224.0</v>
      </c>
      <c r="D27" s="8">
        <f t="shared" si="1"/>
        <v>4</v>
      </c>
      <c r="E27" s="9"/>
      <c r="F27" s="6" t="s">
        <v>15</v>
      </c>
      <c r="G27" s="6" t="s">
        <v>12</v>
      </c>
      <c r="H27" s="14" t="s">
        <v>341</v>
      </c>
      <c r="I27" s="70" t="s">
        <v>20</v>
      </c>
      <c r="J27" s="6" t="s">
        <v>14</v>
      </c>
      <c r="K27" s="28" t="s">
        <v>16</v>
      </c>
      <c r="L27" s="6" t="s">
        <v>17</v>
      </c>
      <c r="M27" s="6" t="s">
        <v>14</v>
      </c>
      <c r="N27" s="6" t="s">
        <v>14</v>
      </c>
      <c r="O27" s="57"/>
    </row>
    <row r="28" ht="12.75" customHeight="1">
      <c r="B28" s="12" t="s">
        <v>19</v>
      </c>
      <c r="C28" s="7">
        <v>46225.0</v>
      </c>
      <c r="D28" s="8">
        <f t="shared" si="1"/>
        <v>4</v>
      </c>
      <c r="E28" s="13"/>
      <c r="F28" s="39" t="s">
        <v>17</v>
      </c>
      <c r="G28" s="10" t="s">
        <v>39</v>
      </c>
      <c r="H28" s="39" t="s">
        <v>14</v>
      </c>
      <c r="I28" s="6" t="s">
        <v>22</v>
      </c>
      <c r="J28" s="39" t="s">
        <v>15</v>
      </c>
      <c r="K28" s="28" t="s">
        <v>16</v>
      </c>
      <c r="L28" s="39" t="s">
        <v>12</v>
      </c>
      <c r="M28" s="6" t="s">
        <v>14</v>
      </c>
      <c r="N28" s="6" t="s">
        <v>342</v>
      </c>
    </row>
    <row r="29" ht="12.75" customHeight="1">
      <c r="B29" s="6" t="s">
        <v>21</v>
      </c>
      <c r="C29" s="7">
        <v>46226.0</v>
      </c>
      <c r="D29" s="8">
        <f t="shared" si="1"/>
        <v>4</v>
      </c>
      <c r="E29" s="21"/>
      <c r="F29" s="41" t="s">
        <v>12</v>
      </c>
      <c r="G29" s="6" t="s">
        <v>14</v>
      </c>
      <c r="H29" s="39" t="s">
        <v>14</v>
      </c>
      <c r="I29" s="70" t="s">
        <v>42</v>
      </c>
      <c r="J29" s="41" t="s">
        <v>17</v>
      </c>
      <c r="K29" s="28" t="s">
        <v>16</v>
      </c>
      <c r="L29" s="41" t="s">
        <v>22</v>
      </c>
      <c r="M29" s="14" t="s">
        <v>52</v>
      </c>
      <c r="N29" s="41" t="s">
        <v>15</v>
      </c>
    </row>
    <row r="30" ht="12.75" customHeight="1">
      <c r="B30" s="6" t="s">
        <v>26</v>
      </c>
      <c r="C30" s="7">
        <v>46227.0</v>
      </c>
      <c r="D30" s="8">
        <f t="shared" si="1"/>
        <v>6</v>
      </c>
      <c r="E30" s="21"/>
      <c r="F30" s="42" t="s">
        <v>14</v>
      </c>
      <c r="G30" s="41" t="s">
        <v>14</v>
      </c>
      <c r="H30" s="39" t="s">
        <v>15</v>
      </c>
      <c r="I30" s="6" t="s">
        <v>14</v>
      </c>
      <c r="J30" s="41" t="s">
        <v>12</v>
      </c>
      <c r="K30" s="28" t="s">
        <v>16</v>
      </c>
      <c r="L30" s="41" t="s">
        <v>14</v>
      </c>
      <c r="M30" s="84" t="s">
        <v>14</v>
      </c>
      <c r="N30" s="41" t="s">
        <v>17</v>
      </c>
    </row>
    <row r="31" ht="12.75" customHeight="1">
      <c r="B31" s="24" t="s">
        <v>28</v>
      </c>
      <c r="C31" s="7">
        <v>46228.0</v>
      </c>
      <c r="D31" s="18">
        <f t="shared" si="1"/>
        <v>3</v>
      </c>
      <c r="E31" s="19"/>
      <c r="F31" s="42" t="s">
        <v>22</v>
      </c>
      <c r="G31" s="43" t="s">
        <v>17</v>
      </c>
      <c r="H31" s="43" t="s">
        <v>14</v>
      </c>
      <c r="I31" s="17" t="s">
        <v>14</v>
      </c>
      <c r="J31" s="43" t="s">
        <v>16</v>
      </c>
      <c r="K31" s="17" t="s">
        <v>16</v>
      </c>
      <c r="L31" s="43" t="s">
        <v>15</v>
      </c>
      <c r="M31" s="17"/>
      <c r="N31" s="43" t="s">
        <v>12</v>
      </c>
    </row>
    <row r="32" ht="12.75" customHeight="1">
      <c r="B32" s="24" t="s">
        <v>32</v>
      </c>
      <c r="C32" s="7">
        <v>46229.0</v>
      </c>
      <c r="D32" s="18">
        <f t="shared" si="1"/>
        <v>1</v>
      </c>
      <c r="E32" s="19"/>
      <c r="F32" s="43" t="s">
        <v>22</v>
      </c>
      <c r="G32" s="43" t="s">
        <v>12</v>
      </c>
      <c r="H32" s="43" t="s">
        <v>17</v>
      </c>
      <c r="I32" s="17" t="s">
        <v>15</v>
      </c>
      <c r="J32" s="43"/>
      <c r="K32" s="17"/>
      <c r="L32" s="43"/>
      <c r="M32" s="17"/>
      <c r="N32" s="43"/>
    </row>
    <row r="33" ht="12.75" customHeight="1">
      <c r="B33" s="25" t="s">
        <v>35</v>
      </c>
      <c r="C33" s="26"/>
      <c r="D33" s="8">
        <f t="shared" si="1"/>
        <v>0</v>
      </c>
      <c r="E33" s="27"/>
      <c r="F33" s="28">
        <f t="shared" ref="F33:N33" si="5">COUNTIF(F26:F32,$Q$6)*$S$6+COUNTIF(F26:F32,$Q$7)*$S$7+COUNTIF(F26:F32,$Q$8)*$S$8+COUNTIF(F26:F32,$Q$9)*$S$9+COUNTIF(F26:F32,$Q$10)*$S$10+COUNTIF(F26:F32,$Q$11)*$S$11+COUNTIF(F26:F32,$Q$12)*$S$12+COUNTIF(F26:F32,$Q$13)*$S$13+COUNTIF(F26:F32,$Q$14)*$S$14+COUNTIF(F26:F32,$Q$15)*$S$15+COUNTIF(F26:F32,$Q$16)*$S$16</f>
        <v>29</v>
      </c>
      <c r="G33" s="28">
        <f t="shared" si="5"/>
        <v>41</v>
      </c>
      <c r="H33" s="28">
        <f t="shared" si="5"/>
        <v>39</v>
      </c>
      <c r="I33" s="28">
        <f t="shared" si="5"/>
        <v>42</v>
      </c>
      <c r="J33" s="28">
        <f t="shared" si="5"/>
        <v>41.33</v>
      </c>
      <c r="K33" s="28">
        <f t="shared" si="5"/>
        <v>37.98</v>
      </c>
      <c r="L33" s="28">
        <f t="shared" si="5"/>
        <v>41</v>
      </c>
      <c r="M33" s="28">
        <f t="shared" si="5"/>
        <v>26.33</v>
      </c>
      <c r="N33" s="28">
        <f t="shared" si="5"/>
        <v>29</v>
      </c>
    </row>
    <row r="34" ht="12.75" customHeight="1">
      <c r="B34" s="6" t="s">
        <v>10</v>
      </c>
      <c r="C34" s="7">
        <v>46230.0</v>
      </c>
      <c r="D34" s="8">
        <f t="shared" si="1"/>
        <v>4</v>
      </c>
      <c r="E34" s="9"/>
      <c r="F34" s="6" t="s">
        <v>14</v>
      </c>
      <c r="G34" s="6" t="s">
        <v>343</v>
      </c>
      <c r="H34" s="6" t="s">
        <v>12</v>
      </c>
      <c r="I34" s="6" t="s">
        <v>344</v>
      </c>
      <c r="J34" s="28" t="s">
        <v>16</v>
      </c>
      <c r="K34" s="6" t="s">
        <v>17</v>
      </c>
      <c r="L34" s="10" t="s">
        <v>13</v>
      </c>
      <c r="M34" s="6" t="s">
        <v>14</v>
      </c>
      <c r="N34" s="6" t="s">
        <v>15</v>
      </c>
      <c r="Q34" s="45"/>
      <c r="R34" s="45"/>
    </row>
    <row r="35" ht="12.75" customHeight="1">
      <c r="B35" s="6" t="s">
        <v>18</v>
      </c>
      <c r="C35" s="7">
        <v>46231.0</v>
      </c>
      <c r="D35" s="8">
        <f t="shared" si="1"/>
        <v>4</v>
      </c>
      <c r="E35" s="9"/>
      <c r="F35" s="70" t="s">
        <v>20</v>
      </c>
      <c r="G35" s="6" t="s">
        <v>15</v>
      </c>
      <c r="H35" s="6" t="s">
        <v>345</v>
      </c>
      <c r="I35" s="6" t="s">
        <v>14</v>
      </c>
      <c r="J35" s="28" t="s">
        <v>16</v>
      </c>
      <c r="K35" s="6" t="s">
        <v>12</v>
      </c>
      <c r="L35" s="6" t="s">
        <v>14</v>
      </c>
      <c r="M35" s="6" t="s">
        <v>14</v>
      </c>
      <c r="N35" s="6" t="s">
        <v>17</v>
      </c>
      <c r="Q35" s="45"/>
      <c r="R35" s="45"/>
    </row>
    <row r="36" ht="12.75" customHeight="1">
      <c r="B36" s="12" t="s">
        <v>19</v>
      </c>
      <c r="C36" s="7">
        <v>46232.0</v>
      </c>
      <c r="D36" s="8">
        <f t="shared" si="1"/>
        <v>5</v>
      </c>
      <c r="E36" s="13"/>
      <c r="F36" s="6" t="s">
        <v>14</v>
      </c>
      <c r="G36" s="6" t="s">
        <v>17</v>
      </c>
      <c r="H36" s="39" t="s">
        <v>14</v>
      </c>
      <c r="I36" s="39" t="s">
        <v>15</v>
      </c>
      <c r="J36" s="28" t="s">
        <v>16</v>
      </c>
      <c r="K36" s="87" t="s">
        <v>14</v>
      </c>
      <c r="L36" s="6" t="s">
        <v>22</v>
      </c>
      <c r="M36" s="6" t="s">
        <v>14</v>
      </c>
      <c r="N36" s="6" t="s">
        <v>12</v>
      </c>
      <c r="Q36" s="45"/>
      <c r="R36" s="45"/>
    </row>
    <row r="37" ht="12.75" customHeight="1">
      <c r="B37" s="6" t="s">
        <v>21</v>
      </c>
      <c r="C37" s="7">
        <v>46233.0</v>
      </c>
      <c r="D37" s="8">
        <f t="shared" si="1"/>
        <v>4</v>
      </c>
      <c r="E37" s="21"/>
      <c r="F37" s="39" t="s">
        <v>15</v>
      </c>
      <c r="G37" s="6" t="s">
        <v>12</v>
      </c>
      <c r="H37" s="39" t="s">
        <v>17</v>
      </c>
      <c r="I37" s="73" t="s">
        <v>42</v>
      </c>
      <c r="J37" s="28" t="s">
        <v>16</v>
      </c>
      <c r="K37" s="87" t="s">
        <v>22</v>
      </c>
      <c r="L37" s="6" t="s">
        <v>14</v>
      </c>
      <c r="M37" s="84" t="s">
        <v>14</v>
      </c>
      <c r="N37" s="6" t="s">
        <v>22</v>
      </c>
      <c r="Q37" s="45"/>
      <c r="R37" s="45"/>
    </row>
    <row r="38" ht="12.75" customHeight="1">
      <c r="B38" s="6" t="s">
        <v>26</v>
      </c>
      <c r="C38" s="7">
        <v>46234.0</v>
      </c>
      <c r="D38" s="8">
        <f t="shared" si="1"/>
        <v>5</v>
      </c>
      <c r="E38" s="21"/>
      <c r="F38" s="39" t="s">
        <v>17</v>
      </c>
      <c r="G38" s="10" t="s">
        <v>39</v>
      </c>
      <c r="H38" s="39" t="s">
        <v>12</v>
      </c>
      <c r="I38" s="41" t="s">
        <v>14</v>
      </c>
      <c r="J38" s="28" t="s">
        <v>16</v>
      </c>
      <c r="K38" s="6" t="s">
        <v>14</v>
      </c>
      <c r="L38" s="41" t="s">
        <v>15</v>
      </c>
      <c r="M38" s="14" t="s">
        <v>52</v>
      </c>
      <c r="N38" s="6" t="s">
        <v>14</v>
      </c>
      <c r="Q38" s="45"/>
      <c r="R38" s="45"/>
    </row>
    <row r="39" ht="12.75" customHeight="1">
      <c r="B39" s="24" t="s">
        <v>28</v>
      </c>
      <c r="C39" s="7">
        <v>46235.0</v>
      </c>
      <c r="D39" s="18">
        <f t="shared" si="1"/>
        <v>3</v>
      </c>
      <c r="E39" s="19"/>
      <c r="F39" s="43" t="s">
        <v>12</v>
      </c>
      <c r="G39" s="17" t="s">
        <v>22</v>
      </c>
      <c r="H39" s="43" t="s">
        <v>14</v>
      </c>
      <c r="I39" s="43"/>
      <c r="J39" s="43" t="s">
        <v>16</v>
      </c>
      <c r="K39" s="17" t="s">
        <v>14</v>
      </c>
      <c r="L39" s="43" t="s">
        <v>17</v>
      </c>
      <c r="M39" s="17"/>
      <c r="N39" s="17" t="s">
        <v>15</v>
      </c>
      <c r="Q39" s="16"/>
      <c r="R39" s="16"/>
    </row>
    <row r="40" ht="12.75" customHeight="1">
      <c r="B40" s="24" t="s">
        <v>32</v>
      </c>
      <c r="C40" s="7">
        <v>46236.0</v>
      </c>
      <c r="D40" s="18">
        <f t="shared" si="1"/>
        <v>1</v>
      </c>
      <c r="E40" s="19"/>
      <c r="F40" s="43"/>
      <c r="G40" s="43" t="s">
        <v>22</v>
      </c>
      <c r="H40" s="43" t="s">
        <v>15</v>
      </c>
      <c r="I40" s="43"/>
      <c r="J40" s="43"/>
      <c r="K40" s="17" t="s">
        <v>17</v>
      </c>
      <c r="L40" s="43" t="s">
        <v>12</v>
      </c>
      <c r="M40" s="17"/>
      <c r="N40" s="17"/>
      <c r="Q40" s="16"/>
      <c r="R40" s="16"/>
    </row>
    <row r="41" ht="12.75" customHeight="1">
      <c r="B41" s="25" t="s">
        <v>35</v>
      </c>
      <c r="C41" s="26"/>
      <c r="D41" s="8"/>
      <c r="E41" s="27"/>
      <c r="F41" s="28">
        <f t="shared" ref="F41:N41" si="6">COUNTIF(F34:F40,$Q$6)*$S$6+COUNTIF(F34:F40,$Q$7)*$S$7+COUNTIF(F34:F40,$Q$8)*$S$8+COUNTIF(F34:F40,$Q$9)*$S$9+COUNTIF(F34:F40,$Q$10)*$S$10+COUNTIF(F34:F40,$Q$11)*$S$11+COUNTIF(F34:F40,$Q$12)*$S$12+COUNTIF(F34:F40,$Q$13)*$S$13+COUNTIF(F34:F40,$Q$14)*$S$14+COUNTIF(F34:F40,$Q$15)*$S$15+COUNTIF(F34:F40,$Q$16)*$S$16</f>
        <v>39</v>
      </c>
      <c r="G41" s="28">
        <f t="shared" si="6"/>
        <v>31</v>
      </c>
      <c r="H41" s="28">
        <f t="shared" si="6"/>
        <v>34</v>
      </c>
      <c r="I41" s="28">
        <f t="shared" si="6"/>
        <v>32</v>
      </c>
      <c r="J41" s="28">
        <f t="shared" si="6"/>
        <v>37.98</v>
      </c>
      <c r="K41" s="28">
        <f t="shared" si="6"/>
        <v>39</v>
      </c>
      <c r="L41" s="28">
        <f t="shared" si="6"/>
        <v>40</v>
      </c>
      <c r="M41" s="28">
        <f t="shared" si="6"/>
        <v>26.33</v>
      </c>
      <c r="N41" s="28">
        <f t="shared" si="6"/>
        <v>41</v>
      </c>
      <c r="Q41" s="16"/>
      <c r="R41" s="16"/>
    </row>
    <row r="42" ht="12.75" customHeight="1">
      <c r="B42" s="50" t="s">
        <v>92</v>
      </c>
      <c r="C42" s="26"/>
      <c r="D42" s="51" t="s">
        <v>346</v>
      </c>
      <c r="E42" s="26"/>
      <c r="F42" s="29">
        <f t="shared" ref="F42:N42" si="7">(F9+F17+F25+F33+F33+F41)</f>
        <v>210</v>
      </c>
      <c r="G42" s="29">
        <f t="shared" si="7"/>
        <v>230.33</v>
      </c>
      <c r="H42" s="29">
        <f t="shared" si="7"/>
        <v>232</v>
      </c>
      <c r="I42" s="29">
        <f t="shared" si="7"/>
        <v>211</v>
      </c>
      <c r="J42" s="29">
        <f t="shared" si="7"/>
        <v>225.64</v>
      </c>
      <c r="K42" s="29">
        <f t="shared" si="7"/>
        <v>230.27</v>
      </c>
      <c r="L42" s="29">
        <f t="shared" si="7"/>
        <v>216</v>
      </c>
      <c r="M42" s="29">
        <f t="shared" si="7"/>
        <v>181.28</v>
      </c>
      <c r="N42" s="29">
        <f t="shared" si="7"/>
        <v>218.66</v>
      </c>
      <c r="Q42" s="16"/>
      <c r="R42" s="16"/>
    </row>
    <row r="43" ht="12.75" customHeight="1">
      <c r="D43" s="57"/>
      <c r="E43" s="57"/>
      <c r="F43" s="54" t="s">
        <v>1</v>
      </c>
      <c r="G43" s="54" t="s">
        <v>2</v>
      </c>
      <c r="H43" s="54" t="s">
        <v>3</v>
      </c>
      <c r="I43" s="54" t="s">
        <v>4</v>
      </c>
      <c r="J43" s="54" t="s">
        <v>5</v>
      </c>
      <c r="K43" s="54" t="s">
        <v>6</v>
      </c>
      <c r="L43" s="54" t="s">
        <v>7</v>
      </c>
      <c r="M43" s="54" t="s">
        <v>9</v>
      </c>
      <c r="N43" s="54" t="s">
        <v>8</v>
      </c>
      <c r="Q43" s="16"/>
      <c r="R43" s="16"/>
    </row>
    <row r="44" ht="12.75" customHeight="1">
      <c r="Q44" s="16"/>
      <c r="R44" s="16"/>
    </row>
    <row r="45" ht="12.75" customHeight="1">
      <c r="E45" s="55" t="s">
        <v>15</v>
      </c>
      <c r="F45" s="55">
        <v>4.0</v>
      </c>
      <c r="G45" s="55">
        <v>4.0</v>
      </c>
      <c r="H45" s="55">
        <v>4.0</v>
      </c>
      <c r="I45" s="55">
        <v>5.0</v>
      </c>
      <c r="J45" s="55">
        <v>4.0</v>
      </c>
      <c r="K45" s="55">
        <v>2.0</v>
      </c>
      <c r="L45" s="55">
        <v>5.0</v>
      </c>
      <c r="N45" s="55">
        <v>3.0</v>
      </c>
      <c r="Q45" s="16"/>
      <c r="R45" s="16"/>
    </row>
    <row r="46" ht="12.75" customHeight="1">
      <c r="E46" s="55" t="s">
        <v>17</v>
      </c>
      <c r="F46" s="55">
        <v>4.0</v>
      </c>
      <c r="G46" s="55">
        <v>5.0</v>
      </c>
      <c r="H46" s="55">
        <v>4.0</v>
      </c>
      <c r="I46" s="55">
        <v>3.0</v>
      </c>
      <c r="J46" s="55">
        <v>4.0</v>
      </c>
      <c r="K46" s="55">
        <v>2.0</v>
      </c>
      <c r="L46" s="55">
        <v>3.0</v>
      </c>
      <c r="N46" s="55">
        <v>6.0</v>
      </c>
      <c r="Q46" s="16"/>
      <c r="R46" s="16"/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B9:C9"/>
    <mergeCell ref="B17:C17"/>
    <mergeCell ref="B25:C25"/>
    <mergeCell ref="B33:C33"/>
    <mergeCell ref="B41:C41"/>
    <mergeCell ref="B42:C42"/>
    <mergeCell ref="D42:E4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2026-03-31T16:31:00Z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2393C5624A004180B295DAAE6D00F7AD</vt:lpwstr>
  </property>
  <property fmtid="{D5CDD505-2E9C-101B-9397-08002B2CF9AE}" pid="3" name="KSOProductBuildVer">
    <vt:lpwstr>1033-11.2.0.11306</vt:lpwstr>
  </property>
</Properties>
</file>